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PP&amp;E Schedule" sheetId="5" state="visible" r:id="rId5"/>
    <sheet xmlns:r="http://schemas.openxmlformats.org/officeDocument/2006/relationships" name="Debt Schedule" sheetId="6" state="visible" r:id="rId6"/>
    <sheet xmlns:r="http://schemas.openxmlformats.org/officeDocument/2006/relationships" name="WC Schedule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Scenario &amp; Sensitivity" sheetId="10" state="visible" r:id="rId10"/>
    <sheet xmlns:r="http://schemas.openxmlformats.org/officeDocument/2006/relationships" name="Checks" sheetId="11" state="visible" r:id="rId11"/>
  </sheets>
  <definedNames>
    <definedName name="chk_bs_balance" hidden="0" function="0" vbProcedure="0">Checks!$C$6</definedName>
    <definedName name="chk_cf_tie" hidden="0" function="0" vbProcedure="0">Checks!$C$7</definedName>
    <definedName name="chk_int_coverage" hidden="0" function="0" vbProcedure="0">Checks!$C$10</definedName>
    <definedName name="chk_revolver_nonneg" hidden="0" function="0" vbProcedure="0">Checks!$C$11</definedName>
    <definedName name="chk_scenario_valid" hidden="0" function="0" vbProcedure="0">Checks!$C$12</definedName>
    <definedName name="chk_tv_pct" hidden="0" function="0" vbProcedure="0">Checks!$C$9</definedName>
    <definedName name="chk_wacc_gt_g" hidden="0" function="0" vbProcedure="0">Checks!$C$8</definedName>
    <definedName name="in_beta_base" hidden="0" function="0" vbProcedure="0">Assumptions!$D$65</definedName>
    <definedName name="in_beta_bear" hidden="0" function="0" vbProcedure="0">Assumptions!$E$65</definedName>
    <definedName name="in_beta_bull" hidden="0" function="0" vbProcedure="0">Assumptions!$C$65</definedName>
    <definedName name="in_erp_base" hidden="0" function="0" vbProcedure="0">Assumptions!$D$64</definedName>
    <definedName name="in_erp_bear" hidden="0" function="0" vbProcedure="0">Assumptions!$E$64</definedName>
    <definedName name="in_erp_bull" hidden="0" function="0" vbProcedure="0">Assumptions!$C$64</definedName>
    <definedName name="in_exit_mult_base" hidden="0" function="0" vbProcedure="0">Assumptions!$D$66</definedName>
    <definedName name="in_exit_mult_bear" hidden="0" function="0" vbProcedure="0">Assumptions!$E$66</definedName>
    <definedName name="in_exit_mult_bull" hidden="0" function="0" vbProcedure="0">Assumptions!$C$66</definedName>
    <definedName name="in_gross_margin_base" hidden="0" function="0" vbProcedure="0">Assumptions!$C$22</definedName>
    <definedName name="in_gross_margin_bear" hidden="0" function="0" vbProcedure="0">Assumptions!$C$23</definedName>
    <definedName name="in_gross_margin_bull" hidden="0" function="0" vbProcedure="0">Assumptions!$C$21</definedName>
    <definedName name="in_min_cash" hidden="0" function="0" vbProcedure="0">'Debt Schedule'!$C$10</definedName>
    <definedName name="in_payout_base" hidden="0" function="0" vbProcedure="0">Assumptions!$C$46</definedName>
    <definedName name="in_payout_bear" hidden="0" function="0" vbProcedure="0">Assumptions!$C$47</definedName>
    <definedName name="in_payout_bull" hidden="0" function="0" vbProcedure="0">Assumptions!$C$45</definedName>
    <definedName name="in_ppe_useful_life" hidden="0" function="0" vbProcedure="0">'PP&amp;E Schedule'!$C$11</definedName>
    <definedName name="in_revolver_rate" hidden="0" function="0" vbProcedure="0">'Debt Schedule'!$C$9</definedName>
    <definedName name="in_rev_growth_base" hidden="0" function="0" vbProcedure="0">Assumptions!$C$16</definedName>
    <definedName name="in_rev_growth_bear" hidden="0" function="0" vbProcedure="0">Assumptions!$C$17</definedName>
    <definedName name="in_rev_growth_bull" hidden="0" function="0" vbProcedure="0">Assumptions!$C$15</definedName>
    <definedName name="in_rnd_pct_base" hidden="0" function="0" vbProcedure="0">Assumptions!$C$34</definedName>
    <definedName name="in_rnd_pct_bear" hidden="0" function="0" vbProcedure="0">Assumptions!$C$35</definedName>
    <definedName name="in_rnd_pct_bull" hidden="0" function="0" vbProcedure="0">Assumptions!$C$33</definedName>
    <definedName name="in_scenario" hidden="0" function="0" vbProcedure="0">Assumptions!$C$9</definedName>
    <definedName name="in_sga_pct_base" hidden="0" function="0" vbProcedure="0">Assumptions!$C$28</definedName>
    <definedName name="in_sga_pct_bear" hidden="0" function="0" vbProcedure="0">Assumptions!$C$29</definedName>
    <definedName name="in_sga_pct_bull" hidden="0" function="0" vbProcedure="0">Assumptions!$C$27</definedName>
    <definedName name="in_tax_rate_base" hidden="0" function="0" vbProcedure="0">Assumptions!$C$40</definedName>
    <definedName name="in_tax_rate_bear" hidden="0" function="0" vbProcedure="0">Assumptions!$C$41</definedName>
    <definedName name="in_tax_rate_bull" hidden="0" function="0" vbProcedure="0">Assumptions!$C$39</definedName>
    <definedName name="in_term_loan_amort" hidden="0" function="0" vbProcedure="0">'Debt Schedule'!$C$7</definedName>
    <definedName name="in_term_loan_open" hidden="0" function="0" vbProcedure="0">'Debt Schedule'!$C$6</definedName>
    <definedName name="in_term_loan_rate" hidden="0" function="0" vbProcedure="0">'Debt Schedule'!$C$8</definedName>
    <definedName name="in_tgr_base" hidden="0" function="0" vbProcedure="0">Assumptions!$D$63</definedName>
    <definedName name="in_tgr_bear" hidden="0" function="0" vbProcedure="0">Assumptions!$E$63</definedName>
    <definedName name="in_tgr_bull" hidden="0" function="0" vbProcedure="0">Assumptions!$C$63</definedName>
    <definedName name="out_comps_avg_vps" hidden="0" function="0" vbProcedure="0">Comps!$E$17</definedName>
    <definedName name="out_enterprise_value" hidden="0" function="0" vbProcedure="0">DCF!$C$31</definedName>
    <definedName name="out_equity_value" hidden="0" function="0" vbProcedure="0">DCF!$C$33</definedName>
    <definedName name="out_tv_pct_ev" hidden="0" function="0" vbProcedure="0">DCF!$C$38</definedName>
    <definedName name="out_upside" hidden="0" function="0" vbProcedure="0">DCF!$C$37</definedName>
    <definedName name="out_value_per_share" hidden="0" function="0" vbProcedure="0">DCF!$C$35</definedName>
    <definedName name="out_wacc" hidden="0" function="0" vbProcedure="0">DCF!$C$10</definedName>
    <definedName name="rng_beta_active" hidden="0" function="0" vbProcedure="0">Assumptions!$F$65</definedName>
    <definedName name="rng_capex_pct_active" hidden="0" function="0" vbProcedure="0">Assumptions!$C$59</definedName>
    <definedName name="rng_capex_pct_active_row" hidden="0" function="0" vbProcedure="0">Assumptions!$C$59:$J$59</definedName>
    <definedName name="rng_cash_latest" hidden="0" function="0" vbProcedure="0">Assumptions!$C$78</definedName>
    <definedName name="rng_circular" hidden="0" function="0" vbProcedure="0">Assumptions!$C$73</definedName>
    <definedName name="rng_cur_price" hidden="0" function="0" vbProcedure="0">Assumptions!$C$77</definedName>
    <definedName name="rng_da_pct" hidden="0" function="0" vbProcedure="0">Assumptions!$C$54</definedName>
    <definedName name="rng_da_pct_row" hidden="0" function="0" vbProcedure="0">Assumptions!$C$54:$J$54</definedName>
    <definedName name="rng_debt_wt" hidden="0" function="0" vbProcedure="0">Assumptions!$C$71</definedName>
    <definedName name="rng_dio" hidden="0" function="0" vbProcedure="0">Assumptions!$C$52</definedName>
    <definedName name="rng_dio_row" hidden="0" function="0" vbProcedure="0">Assumptions!$C$52:$J$52</definedName>
    <definedName name="rng_dpo" hidden="0" function="0" vbProcedure="0">Assumptions!$C$53</definedName>
    <definedName name="rng_dpo_row" hidden="0" function="0" vbProcedure="0">Assumptions!$C$53:$J$53</definedName>
    <definedName name="rng_dso" hidden="0" function="0" vbProcedure="0">Assumptions!$C$51</definedName>
    <definedName name="rng_dso_row" hidden="0" function="0" vbProcedure="0">Assumptions!$C$51:$J$51</definedName>
    <definedName name="rng_erp_active" hidden="0" function="0" vbProcedure="0">Assumptions!$F$64</definedName>
    <definedName name="rng_exit_mult_active" hidden="0" function="0" vbProcedure="0">Assumptions!$F$66</definedName>
    <definedName name="rng_gross_margin_active" hidden="0" function="0" vbProcedure="0">Assumptions!$C$24</definedName>
    <definedName name="rng_gross_margin_active_row" hidden="0" function="0" vbProcedure="0">Assumptions!$C$24:$J$24</definedName>
    <definedName name="rng_kd" hidden="0" function="0" vbProcedure="0">Assumptions!$C$70</definedName>
    <definedName name="rng_midyear" hidden="0" function="0" vbProcedure="0">Assumptions!$C$72</definedName>
    <definedName name="rng_payout_active" hidden="0" function="0" vbProcedure="0">Assumptions!$C$48</definedName>
    <definedName name="rng_payout_active_row" hidden="0" function="0" vbProcedure="0">Assumptions!$C$48:$J$48</definedName>
    <definedName name="rng_rev_growth_active" hidden="0" function="0" vbProcedure="0">Assumptions!$C$18</definedName>
    <definedName name="rng_rev_growth_active_row" hidden="0" function="0" vbProcedure="0">Assumptions!$C$18:$J$18</definedName>
    <definedName name="rng_rev_hist_row" hidden="0" function="0" vbProcedure="0">Assumptions!$C$79:$E$79</definedName>
    <definedName name="rng_rf" hidden="0" function="0" vbProcedure="0">Assumptions!$C$69</definedName>
    <definedName name="rng_rnd_pct_active" hidden="0" function="0" vbProcedure="0">Assumptions!$C$36</definedName>
    <definedName name="rng_rnd_pct_active_row" hidden="0" function="0" vbProcedure="0">Assumptions!$C$36:$J$36</definedName>
    <definedName name="rng_sga_pct_active" hidden="0" function="0" vbProcedure="0">Assumptions!$C$30</definedName>
    <definedName name="rng_sga_pct_active_row" hidden="0" function="0" vbProcedure="0">Assumptions!$C$30:$J$30</definedName>
    <definedName name="rng_shares" hidden="0" function="0" vbProcedure="0">Assumptions!$C$76</definedName>
    <definedName name="rng_tax_rate_active" hidden="0" function="0" vbProcedure="0">Assumptions!$C$42</definedName>
    <definedName name="rng_tax_rate_active_row" hidden="0" function="0" vbProcedure="0">Assumptions!$C$42:$J$42</definedName>
    <definedName name="rng_tgr_active" hidden="0" function="0" vbProcedure="0">Assumptions!$F$63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;\(0.0%\);\-"/>
    <numFmt numFmtId="165" formatCode="0.0"/>
    <numFmt numFmtId="166" formatCode="0.000"/>
    <numFmt numFmtId="167" formatCode="0.0\x"/>
    <numFmt numFmtId="168" formatCode="#,##0;\(#,##0\);\-"/>
    <numFmt numFmtId="169" formatCode="\$#,##0.00"/>
    <numFmt numFmtId="170" formatCode="\$#,##0;&quot;($&quot;#,##0\);\-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7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" fontId="9" fillId="5" borderId="1" applyAlignment="1" pivotButton="0" quotePrefix="0" xfId="0">
      <alignment horizontal="center" vertical="bottom"/>
    </xf>
    <xf numFmtId="170" fontId="10" fillId="0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70" fontId="6" fillId="0" borderId="2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70" fontId="6" fillId="6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" fontId="9" fillId="2" borderId="1" applyAlignment="1" pivotButton="0" quotePrefix="0" xfId="0">
      <alignment horizontal="center" vertical="bottom"/>
    </xf>
    <xf numFmtId="170" fontId="8" fillId="0" borderId="2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general" vertical="bottom"/>
    </xf>
    <xf numFmtId="169" fontId="6" fillId="3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167" fontId="6" fillId="0" borderId="2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7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70" fontId="7" fillId="0" borderId="0" applyAlignment="1" pivotButton="0" quotePrefix="0" xfId="0">
      <alignment horizontal="general" vertical="bottom"/>
    </xf>
    <xf numFmtId="1" fontId="9" fillId="5" borderId="1" applyAlignment="1" pivotButton="0" quotePrefix="0" xfId="0">
      <alignment horizontal="center" vertical="bottom"/>
    </xf>
    <xf numFmtId="170" fontId="10" fillId="0" borderId="0" applyAlignment="1" pivotButton="0" quotePrefix="0" xfId="0">
      <alignment horizontal="general" vertical="bottom"/>
    </xf>
    <xf numFmtId="170" fontId="8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170" fontId="6" fillId="0" borderId="2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70" fontId="6" fillId="6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" fontId="9" fillId="2" borderId="1" applyAlignment="1" pivotButton="0" quotePrefix="0" xfId="0">
      <alignment horizontal="center" vertical="bottom"/>
    </xf>
    <xf numFmtId="170" fontId="8" fillId="0" borderId="2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general" vertical="bottom"/>
    </xf>
    <xf numFmtId="169" fontId="6" fillId="3" borderId="0" applyAlignment="1" pivotButton="0" quotePrefix="0" xfId="0">
      <alignment horizontal="general" vertical="bottom"/>
    </xf>
    <xf numFmtId="169" fontId="8" fillId="0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center" vertical="bottom"/>
    </xf>
    <xf numFmtId="167" fontId="6" fillId="0" borderId="2" applyAlignment="1" pivotButton="0" quotePrefix="0" xfId="0">
      <alignment horizontal="general" vertical="bottom"/>
    </xf>
    <xf numFmtId="164" fontId="8" fillId="0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B2:J8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2" customWidth="1" style="51" min="2" max="2"/>
    <col width="13" customWidth="1" style="51" min="3" max="10"/>
  </cols>
  <sheetData>
    <row r="2" ht="17.25" customHeight="1" s="52">
      <c r="B2" s="53" t="inlineStr">
        <is>
          <t>Driver Assumptions</t>
        </is>
      </c>
    </row>
    <row r="3" ht="15" customHeight="1" s="52">
      <c r="B3" s="54" t="inlineStr">
        <is>
          <t>Scenario selector drives all operating, capex, debt and DCF inputs. Blue = input.</t>
        </is>
      </c>
    </row>
    <row r="5" ht="15" customHeight="1" s="52">
      <c r="B5" s="55" t="inlineStr">
        <is>
          <t>Fiscal Year</t>
        </is>
      </c>
      <c r="C5" s="56" t="n">
        <v>2023</v>
      </c>
      <c r="D5" s="56" t="n">
        <v>2024</v>
      </c>
      <c r="E5" s="56" t="n">
        <v>2025</v>
      </c>
      <c r="F5" s="56" t="n">
        <v>2026</v>
      </c>
      <c r="G5" s="56" t="n">
        <v>2027</v>
      </c>
      <c r="H5" s="56" t="n">
        <v>2028</v>
      </c>
      <c r="I5" s="56" t="n">
        <v>2029</v>
      </c>
      <c r="J5" s="56" t="n">
        <v>2030</v>
      </c>
    </row>
    <row r="6" ht="15" customHeight="1" s="52">
      <c r="B6" s="54" t="inlineStr">
        <is>
          <t>Period type</t>
        </is>
      </c>
      <c r="C6" s="57" t="inlineStr">
        <is>
          <t>Actual</t>
        </is>
      </c>
      <c r="D6" s="57" t="inlineStr">
        <is>
          <t>Actual</t>
        </is>
      </c>
      <c r="E6" s="57" t="inlineStr">
        <is>
          <t>Actual</t>
        </is>
      </c>
      <c r="F6" s="57" t="inlineStr">
        <is>
          <t>Estimate</t>
        </is>
      </c>
      <c r="G6" s="57" t="inlineStr">
        <is>
          <t>Estimate</t>
        </is>
      </c>
      <c r="H6" s="57" t="inlineStr">
        <is>
          <t>Estimate</t>
        </is>
      </c>
      <c r="I6" s="57" t="inlineStr">
        <is>
          <t>Estimate</t>
        </is>
      </c>
      <c r="J6" s="57" t="inlineStr">
        <is>
          <t>Estimate</t>
        </is>
      </c>
    </row>
    <row r="8" ht="15" customHeight="1" s="52">
      <c r="B8" s="58" t="inlineStr">
        <is>
          <t>SCENARIO SELECTOR (1=Bull  2=Base  3=Bear)</t>
        </is>
      </c>
      <c r="C8" s="59" t="n"/>
      <c r="D8" s="59" t="n"/>
      <c r="E8" s="59" t="n"/>
      <c r="F8" s="59" t="n"/>
      <c r="G8" s="59" t="n"/>
      <c r="H8" s="59" t="n"/>
      <c r="I8" s="59" t="n"/>
      <c r="J8" s="59" t="n"/>
    </row>
    <row r="9" ht="15" customHeight="1" s="52">
      <c r="B9" s="55" t="inlineStr">
        <is>
          <t>Active scenario →</t>
        </is>
      </c>
      <c r="C9" s="60" t="n">
        <v>2</v>
      </c>
      <c r="D9" s="55">
        <f>CHOOSE($C$9,"BULL","BASE","BEAR")</f>
        <v/>
      </c>
    </row>
    <row r="12" ht="15" customHeight="1" s="52">
      <c r="B12" s="58" t="inlineStr">
        <is>
          <t>OPERATING DRIVERS — scenario inputs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</row>
    <row r="13" ht="15" customHeight="1" s="52">
      <c r="B13" s="54" t="inlineStr">
        <is>
          <t>(Bull / Base / Bear stacked; Active = CHOOSE)</t>
        </is>
      </c>
    </row>
    <row r="14" ht="15" customHeight="1" s="52">
      <c r="B14" s="61" t="inlineStr">
        <is>
          <t>Revenue growth %</t>
        </is>
      </c>
      <c r="C14" s="62" t="n"/>
      <c r="D14" s="62" t="n"/>
      <c r="E14" s="62" t="n"/>
      <c r="F14" s="62" t="n"/>
      <c r="G14" s="62" t="n"/>
      <c r="H14" s="62" t="n"/>
      <c r="I14" s="62" t="n"/>
      <c r="J14" s="62" t="n"/>
    </row>
    <row r="15" ht="15" customHeight="1" s="52">
      <c r="B15" s="54" t="inlineStr">
        <is>
          <t xml:space="preserve">  Bull</t>
        </is>
      </c>
      <c r="C15" s="51" t="inlineStr">
        <is>
          <t>-</t>
        </is>
      </c>
      <c r="D15" s="51" t="inlineStr">
        <is>
          <t>-</t>
        </is>
      </c>
      <c r="E15" s="51" t="inlineStr">
        <is>
          <t>-</t>
        </is>
      </c>
      <c r="F15" s="63" t="n">
        <v>0.14</v>
      </c>
      <c r="G15" s="63" t="n">
        <v>0.13</v>
      </c>
      <c r="H15" s="63" t="n">
        <v>0.12</v>
      </c>
      <c r="I15" s="63" t="n">
        <v>0.1</v>
      </c>
      <c r="J15" s="63" t="n">
        <v>0.09</v>
      </c>
    </row>
    <row r="16" ht="15" customHeight="1" s="52">
      <c r="B16" s="54" t="inlineStr">
        <is>
          <t xml:space="preserve">  Base</t>
        </is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63" t="n">
        <v>0.1</v>
      </c>
      <c r="G16" s="63" t="n">
        <v>0.09</v>
      </c>
      <c r="H16" s="63" t="n">
        <v>0.08</v>
      </c>
      <c r="I16" s="63" t="n">
        <v>0.07000000000000001</v>
      </c>
      <c r="J16" s="63" t="n">
        <v>0.06</v>
      </c>
    </row>
    <row r="17" ht="15" customHeight="1" s="52">
      <c r="B17" s="54" t="inlineStr">
        <is>
          <t xml:space="preserve">  Bear</t>
        </is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63" t="n">
        <v>0.05</v>
      </c>
      <c r="G17" s="63" t="n">
        <v>0.04</v>
      </c>
      <c r="H17" s="63" t="n">
        <v>0.03</v>
      </c>
      <c r="I17" s="63" t="n">
        <v>0.03</v>
      </c>
      <c r="J17" s="63" t="n">
        <v>0.02</v>
      </c>
    </row>
    <row r="18" ht="15" customHeight="1" s="52">
      <c r="B18" s="55" t="inlineStr">
        <is>
          <t xml:space="preserve">  → Active</t>
        </is>
      </c>
      <c r="C18" s="64">
        <f>IF($C$9=1,C15,IF($C$9=2,C16,C17))</f>
        <v/>
      </c>
      <c r="D18" s="64">
        <f>IF($C$9=1,D15,IF($C$9=2,D16,D17))</f>
        <v/>
      </c>
      <c r="E18" s="64">
        <f>IF($C$9=1,E15,IF($C$9=2,E16,E17))</f>
        <v/>
      </c>
      <c r="F18" s="64">
        <f>IF($C$9=1,F15,IF($C$9=2,F16,F17))</f>
        <v/>
      </c>
      <c r="G18" s="64">
        <f>IF($C$9=1,G15,IF($C$9=2,G16,G17))</f>
        <v/>
      </c>
      <c r="H18" s="64">
        <f>IF($C$9=1,H15,IF($C$9=2,H16,H17))</f>
        <v/>
      </c>
      <c r="I18" s="64">
        <f>IF($C$9=1,I15,IF($C$9=2,I16,I17))</f>
        <v/>
      </c>
      <c r="J18" s="64">
        <f>IF($C$9=1,J15,IF($C$9=2,J16,J17))</f>
        <v/>
      </c>
    </row>
    <row r="20" ht="15" customHeight="1" s="52">
      <c r="B20" s="61" t="inlineStr">
        <is>
          <t>Gross margin %</t>
        </is>
      </c>
      <c r="C20" s="62" t="n"/>
      <c r="D20" s="62" t="n"/>
      <c r="E20" s="62" t="n"/>
      <c r="F20" s="62" t="n"/>
      <c r="G20" s="62" t="n"/>
      <c r="H20" s="62" t="n"/>
      <c r="I20" s="62" t="n"/>
      <c r="J20" s="62" t="n"/>
    </row>
    <row r="21" ht="15" customHeight="1" s="52">
      <c r="B21" s="54" t="inlineStr">
        <is>
          <t xml:space="preserve">  Bull</t>
        </is>
      </c>
      <c r="C21" s="63" t="n">
        <v>0.42</v>
      </c>
      <c r="D21" s="63" t="n">
        <v>0.43</v>
      </c>
      <c r="E21" s="63" t="n">
        <v>0.44</v>
      </c>
      <c r="F21" s="63" t="n">
        <v>0.46</v>
      </c>
      <c r="G21" s="63" t="n">
        <v>0.47</v>
      </c>
      <c r="H21" s="63" t="n">
        <v>0.48</v>
      </c>
      <c r="I21" s="63" t="n">
        <v>0.48</v>
      </c>
      <c r="J21" s="63" t="n">
        <v>0.49</v>
      </c>
    </row>
    <row r="22" ht="15" customHeight="1" s="52">
      <c r="B22" s="54" t="inlineStr">
        <is>
          <t xml:space="preserve">  Base</t>
        </is>
      </c>
      <c r="C22" s="63" t="n">
        <v>0.42</v>
      </c>
      <c r="D22" s="63" t="n">
        <v>0.43</v>
      </c>
      <c r="E22" s="63" t="n">
        <v>0.44</v>
      </c>
      <c r="F22" s="63" t="n">
        <v>0.44</v>
      </c>
      <c r="G22" s="63" t="n">
        <v>0.45</v>
      </c>
      <c r="H22" s="63" t="n">
        <v>0.45</v>
      </c>
      <c r="I22" s="63" t="n">
        <v>0.46</v>
      </c>
      <c r="J22" s="63" t="n">
        <v>0.46</v>
      </c>
    </row>
    <row r="23" ht="15" customHeight="1" s="52">
      <c r="B23" s="54" t="inlineStr">
        <is>
          <t xml:space="preserve">  Bear</t>
        </is>
      </c>
      <c r="C23" s="63" t="n">
        <v>0.42</v>
      </c>
      <c r="D23" s="63" t="n">
        <v>0.43</v>
      </c>
      <c r="E23" s="63" t="n">
        <v>0.44</v>
      </c>
      <c r="F23" s="63" t="n">
        <v>0.43</v>
      </c>
      <c r="G23" s="63" t="n">
        <v>0.42</v>
      </c>
      <c r="H23" s="63" t="n">
        <v>0.42</v>
      </c>
      <c r="I23" s="63" t="n">
        <v>0.41</v>
      </c>
      <c r="J23" s="63" t="n">
        <v>0.41</v>
      </c>
    </row>
    <row r="24" ht="15" customHeight="1" s="52">
      <c r="B24" s="55" t="inlineStr">
        <is>
          <t xml:space="preserve">  → Active</t>
        </is>
      </c>
      <c r="C24" s="64">
        <f>IF($C$9=1,C21,IF($C$9=2,C22,C23))</f>
        <v/>
      </c>
      <c r="D24" s="64">
        <f>IF($C$9=1,D21,IF($C$9=2,D22,D23))</f>
        <v/>
      </c>
      <c r="E24" s="64">
        <f>IF($C$9=1,E21,IF($C$9=2,E22,E23))</f>
        <v/>
      </c>
      <c r="F24" s="64">
        <f>IF($C$9=1,F21,IF($C$9=2,F22,F23))</f>
        <v/>
      </c>
      <c r="G24" s="64">
        <f>IF($C$9=1,G21,IF($C$9=2,G22,G23))</f>
        <v/>
      </c>
      <c r="H24" s="64">
        <f>IF($C$9=1,H21,IF($C$9=2,H22,H23))</f>
        <v/>
      </c>
      <c r="I24" s="64">
        <f>IF($C$9=1,I21,IF($C$9=2,I22,I23))</f>
        <v/>
      </c>
      <c r="J24" s="64">
        <f>IF($C$9=1,J21,IF($C$9=2,J22,J23))</f>
        <v/>
      </c>
    </row>
    <row r="26" ht="15" customHeight="1" s="52">
      <c r="B26" s="61" t="inlineStr">
        <is>
          <t>SG&amp;A % of revenue</t>
        </is>
      </c>
      <c r="C26" s="62" t="n"/>
      <c r="D26" s="62" t="n"/>
      <c r="E26" s="62" t="n"/>
      <c r="F26" s="62" t="n"/>
      <c r="G26" s="62" t="n"/>
      <c r="H26" s="62" t="n"/>
      <c r="I26" s="62" t="n"/>
      <c r="J26" s="62" t="n"/>
    </row>
    <row r="27" ht="15" customHeight="1" s="52">
      <c r="B27" s="54" t="inlineStr">
        <is>
          <t xml:space="preserve">  Bull</t>
        </is>
      </c>
      <c r="C27" s="63" t="n">
        <v>0.18</v>
      </c>
      <c r="D27" s="63" t="n">
        <v>0.18</v>
      </c>
      <c r="E27" s="63" t="n">
        <v>0.17</v>
      </c>
      <c r="F27" s="63" t="n">
        <v>0.16</v>
      </c>
      <c r="G27" s="63" t="n">
        <v>0.15</v>
      </c>
      <c r="H27" s="63" t="n">
        <v>0.15</v>
      </c>
      <c r="I27" s="63" t="n">
        <v>0.14</v>
      </c>
      <c r="J27" s="63" t="n">
        <v>0.14</v>
      </c>
    </row>
    <row r="28" ht="15" customHeight="1" s="52">
      <c r="B28" s="54" t="inlineStr">
        <is>
          <t xml:space="preserve">  Base</t>
        </is>
      </c>
      <c r="C28" s="63" t="n">
        <v>0.18</v>
      </c>
      <c r="D28" s="63" t="n">
        <v>0.18</v>
      </c>
      <c r="E28" s="63" t="n">
        <v>0.17</v>
      </c>
      <c r="F28" s="63" t="n">
        <v>0.17</v>
      </c>
      <c r="G28" s="63" t="n">
        <v>0.17</v>
      </c>
      <c r="H28" s="63" t="n">
        <v>0.16</v>
      </c>
      <c r="I28" s="63" t="n">
        <v>0.16</v>
      </c>
      <c r="J28" s="63" t="n">
        <v>0.16</v>
      </c>
    </row>
    <row r="29" ht="15" customHeight="1" s="52">
      <c r="B29" s="54" t="inlineStr">
        <is>
          <t xml:space="preserve">  Bear</t>
        </is>
      </c>
      <c r="C29" s="63" t="n">
        <v>0.18</v>
      </c>
      <c r="D29" s="63" t="n">
        <v>0.18</v>
      </c>
      <c r="E29" s="63" t="n">
        <v>0.17</v>
      </c>
      <c r="F29" s="63" t="n">
        <v>0.18</v>
      </c>
      <c r="G29" s="63" t="n">
        <v>0.18</v>
      </c>
      <c r="H29" s="63" t="n">
        <v>0.18</v>
      </c>
      <c r="I29" s="63" t="n">
        <v>0.18</v>
      </c>
      <c r="J29" s="63" t="n">
        <v>0.18</v>
      </c>
    </row>
    <row r="30" ht="15" customHeight="1" s="52">
      <c r="B30" s="55" t="inlineStr">
        <is>
          <t xml:space="preserve">  → Active</t>
        </is>
      </c>
      <c r="C30" s="64">
        <f>IF($C$9=1,C27,IF($C$9=2,C28,C29))</f>
        <v/>
      </c>
      <c r="D30" s="64">
        <f>IF($C$9=1,D27,IF($C$9=2,D28,D29))</f>
        <v/>
      </c>
      <c r="E30" s="64">
        <f>IF($C$9=1,E27,IF($C$9=2,E28,E29))</f>
        <v/>
      </c>
      <c r="F30" s="64">
        <f>IF($C$9=1,F27,IF($C$9=2,F28,F29))</f>
        <v/>
      </c>
      <c r="G30" s="64">
        <f>IF($C$9=1,G27,IF($C$9=2,G28,G29))</f>
        <v/>
      </c>
      <c r="H30" s="64">
        <f>IF($C$9=1,H27,IF($C$9=2,H28,H29))</f>
        <v/>
      </c>
      <c r="I30" s="64">
        <f>IF($C$9=1,I27,IF($C$9=2,I28,I29))</f>
        <v/>
      </c>
      <c r="J30" s="64">
        <f>IF($C$9=1,J27,IF($C$9=2,J28,J29))</f>
        <v/>
      </c>
    </row>
    <row r="32" ht="15" customHeight="1" s="52">
      <c r="B32" s="61" t="inlineStr">
        <is>
          <t>R&amp;D % of revenue</t>
        </is>
      </c>
      <c r="C32" s="62" t="n"/>
      <c r="D32" s="62" t="n"/>
      <c r="E32" s="62" t="n"/>
      <c r="F32" s="62" t="n"/>
      <c r="G32" s="62" t="n"/>
      <c r="H32" s="62" t="n"/>
      <c r="I32" s="62" t="n"/>
      <c r="J32" s="62" t="n"/>
    </row>
    <row r="33" ht="15" customHeight="1" s="52">
      <c r="B33" s="54" t="inlineStr">
        <is>
          <t xml:space="preserve">  Bull</t>
        </is>
      </c>
      <c r="C33" s="63" t="n">
        <v>0.08</v>
      </c>
      <c r="D33" s="63" t="n">
        <v>0.08</v>
      </c>
      <c r="E33" s="63" t="n">
        <v>0.08</v>
      </c>
      <c r="F33" s="63" t="n">
        <v>0.08</v>
      </c>
      <c r="G33" s="63" t="n">
        <v>0.08</v>
      </c>
      <c r="H33" s="63" t="n">
        <v>0.08</v>
      </c>
      <c r="I33" s="63" t="n">
        <v>0.08</v>
      </c>
      <c r="J33" s="63" t="n">
        <v>0.08</v>
      </c>
    </row>
    <row r="34" ht="15" customHeight="1" s="52">
      <c r="B34" s="54" t="inlineStr">
        <is>
          <t xml:space="preserve">  Base</t>
        </is>
      </c>
      <c r="C34" s="63" t="n">
        <v>0.08</v>
      </c>
      <c r="D34" s="63" t="n">
        <v>0.08</v>
      </c>
      <c r="E34" s="63" t="n">
        <v>0.08</v>
      </c>
      <c r="F34" s="63" t="n">
        <v>0.08</v>
      </c>
      <c r="G34" s="63" t="n">
        <v>0.08</v>
      </c>
      <c r="H34" s="63" t="n">
        <v>0.08</v>
      </c>
      <c r="I34" s="63" t="n">
        <v>0.08</v>
      </c>
      <c r="J34" s="63" t="n">
        <v>0.08</v>
      </c>
    </row>
    <row r="35" ht="15" customHeight="1" s="52">
      <c r="B35" s="54" t="inlineStr">
        <is>
          <t xml:space="preserve">  Bear</t>
        </is>
      </c>
      <c r="C35" s="63" t="n">
        <v>0.08</v>
      </c>
      <c r="D35" s="63" t="n">
        <v>0.08</v>
      </c>
      <c r="E35" s="63" t="n">
        <v>0.08</v>
      </c>
      <c r="F35" s="63" t="n">
        <v>0.09</v>
      </c>
      <c r="G35" s="63" t="n">
        <v>0.09</v>
      </c>
      <c r="H35" s="63" t="n">
        <v>0.09</v>
      </c>
      <c r="I35" s="63" t="n">
        <v>0.09</v>
      </c>
      <c r="J35" s="63" t="n">
        <v>0.09</v>
      </c>
    </row>
    <row r="36" ht="15" customHeight="1" s="52">
      <c r="B36" s="55" t="inlineStr">
        <is>
          <t xml:space="preserve">  → Active</t>
        </is>
      </c>
      <c r="C36" s="64">
        <f>IF($C$9=1,C33,IF($C$9=2,C34,C35))</f>
        <v/>
      </c>
      <c r="D36" s="64">
        <f>IF($C$9=1,D33,IF($C$9=2,D34,D35))</f>
        <v/>
      </c>
      <c r="E36" s="64">
        <f>IF($C$9=1,E33,IF($C$9=2,E34,E35))</f>
        <v/>
      </c>
      <c r="F36" s="64">
        <f>IF($C$9=1,F33,IF($C$9=2,F34,F35))</f>
        <v/>
      </c>
      <c r="G36" s="64">
        <f>IF($C$9=1,G33,IF($C$9=2,G34,G35))</f>
        <v/>
      </c>
      <c r="H36" s="64">
        <f>IF($C$9=1,H33,IF($C$9=2,H34,H35))</f>
        <v/>
      </c>
      <c r="I36" s="64">
        <f>IF($C$9=1,I33,IF($C$9=2,I34,I35))</f>
        <v/>
      </c>
      <c r="J36" s="64">
        <f>IF($C$9=1,J33,IF($C$9=2,J34,J35))</f>
        <v/>
      </c>
    </row>
    <row r="38" ht="15" customHeight="1" s="52">
      <c r="B38" s="61" t="inlineStr">
        <is>
          <t>Tax rate %</t>
        </is>
      </c>
      <c r="C38" s="62" t="n"/>
      <c r="D38" s="62" t="n"/>
      <c r="E38" s="62" t="n"/>
      <c r="F38" s="62" t="n"/>
      <c r="G38" s="62" t="n"/>
      <c r="H38" s="62" t="n"/>
      <c r="I38" s="62" t="n"/>
      <c r="J38" s="62" t="n"/>
    </row>
    <row r="39" ht="15" customHeight="1" s="52">
      <c r="B39" s="54" t="inlineStr">
        <is>
          <t xml:space="preserve">  Bull</t>
        </is>
      </c>
      <c r="C39" s="63" t="n">
        <v>0.21</v>
      </c>
      <c r="D39" s="63" t="n">
        <v>0.21</v>
      </c>
      <c r="E39" s="63" t="n">
        <v>0.21</v>
      </c>
      <c r="F39" s="63" t="n">
        <v>0.21</v>
      </c>
      <c r="G39" s="63" t="n">
        <v>0.21</v>
      </c>
      <c r="H39" s="63" t="n">
        <v>0.21</v>
      </c>
      <c r="I39" s="63" t="n">
        <v>0.21</v>
      </c>
      <c r="J39" s="63" t="n">
        <v>0.21</v>
      </c>
    </row>
    <row r="40" ht="15" customHeight="1" s="52">
      <c r="B40" s="54" t="inlineStr">
        <is>
          <t xml:space="preserve">  Base</t>
        </is>
      </c>
      <c r="C40" s="63" t="n">
        <v>0.21</v>
      </c>
      <c r="D40" s="63" t="n">
        <v>0.21</v>
      </c>
      <c r="E40" s="63" t="n">
        <v>0.21</v>
      </c>
      <c r="F40" s="63" t="n">
        <v>0.21</v>
      </c>
      <c r="G40" s="63" t="n">
        <v>0.21</v>
      </c>
      <c r="H40" s="63" t="n">
        <v>0.21</v>
      </c>
      <c r="I40" s="63" t="n">
        <v>0.21</v>
      </c>
      <c r="J40" s="63" t="n">
        <v>0.21</v>
      </c>
    </row>
    <row r="41" ht="15" customHeight="1" s="52">
      <c r="B41" s="54" t="inlineStr">
        <is>
          <t xml:space="preserve">  Bear</t>
        </is>
      </c>
      <c r="C41" s="63" t="n">
        <v>0.21</v>
      </c>
      <c r="D41" s="63" t="n">
        <v>0.21</v>
      </c>
      <c r="E41" s="63" t="n">
        <v>0.21</v>
      </c>
      <c r="F41" s="63" t="n">
        <v>0.21</v>
      </c>
      <c r="G41" s="63" t="n">
        <v>0.21</v>
      </c>
      <c r="H41" s="63" t="n">
        <v>0.21</v>
      </c>
      <c r="I41" s="63" t="n">
        <v>0.21</v>
      </c>
      <c r="J41" s="63" t="n">
        <v>0.21</v>
      </c>
    </row>
    <row r="42" ht="15" customHeight="1" s="52">
      <c r="B42" s="55" t="inlineStr">
        <is>
          <t xml:space="preserve">  → Active</t>
        </is>
      </c>
      <c r="C42" s="64">
        <f>IF($C$9=1,C39,IF($C$9=2,C40,C41))</f>
        <v/>
      </c>
      <c r="D42" s="64">
        <f>IF($C$9=1,D39,IF($C$9=2,D40,D41))</f>
        <v/>
      </c>
      <c r="E42" s="64">
        <f>IF($C$9=1,E39,IF($C$9=2,E40,E41))</f>
        <v/>
      </c>
      <c r="F42" s="64">
        <f>IF($C$9=1,F39,IF($C$9=2,F40,F41))</f>
        <v/>
      </c>
      <c r="G42" s="64">
        <f>IF($C$9=1,G39,IF($C$9=2,G40,G41))</f>
        <v/>
      </c>
      <c r="H42" s="64">
        <f>IF($C$9=1,H39,IF($C$9=2,H40,H41))</f>
        <v/>
      </c>
      <c r="I42" s="64">
        <f>IF($C$9=1,I39,IF($C$9=2,I40,I41))</f>
        <v/>
      </c>
      <c r="J42" s="64">
        <f>IF($C$9=1,J39,IF($C$9=2,J40,J41))</f>
        <v/>
      </c>
    </row>
    <row r="44" ht="15" customHeight="1" s="52">
      <c r="B44" s="61" t="inlineStr">
        <is>
          <t>Dividend payout %</t>
        </is>
      </c>
      <c r="C44" s="62" t="n"/>
      <c r="D44" s="62" t="n"/>
      <c r="E44" s="62" t="n"/>
      <c r="F44" s="62" t="n"/>
      <c r="G44" s="62" t="n"/>
      <c r="H44" s="62" t="n"/>
      <c r="I44" s="62" t="n"/>
      <c r="J44" s="62" t="n"/>
    </row>
    <row r="45" ht="15" customHeight="1" s="52">
      <c r="B45" s="54" t="inlineStr">
        <is>
          <t xml:space="preserve">  Bull</t>
        </is>
      </c>
      <c r="C45" s="63" t="n">
        <v>0.15</v>
      </c>
      <c r="D45" s="63" t="n">
        <v>0.15</v>
      </c>
      <c r="E45" s="63" t="n">
        <v>0.15</v>
      </c>
      <c r="F45" s="63" t="n">
        <v>0.15</v>
      </c>
      <c r="G45" s="63" t="n">
        <v>0.15</v>
      </c>
      <c r="H45" s="63" t="n">
        <v>0.15</v>
      </c>
      <c r="I45" s="63" t="n">
        <v>0.15</v>
      </c>
      <c r="J45" s="63" t="n">
        <v>0.15</v>
      </c>
    </row>
    <row r="46" ht="15" customHeight="1" s="52">
      <c r="B46" s="54" t="inlineStr">
        <is>
          <t xml:space="preserve">  Base</t>
        </is>
      </c>
      <c r="C46" s="63" t="n">
        <v>0.2</v>
      </c>
      <c r="D46" s="63" t="n">
        <v>0.2</v>
      </c>
      <c r="E46" s="63" t="n">
        <v>0.2</v>
      </c>
      <c r="F46" s="63" t="n">
        <v>0.2</v>
      </c>
      <c r="G46" s="63" t="n">
        <v>0.2</v>
      </c>
      <c r="H46" s="63" t="n">
        <v>0.2</v>
      </c>
      <c r="I46" s="63" t="n">
        <v>0.2</v>
      </c>
      <c r="J46" s="63" t="n">
        <v>0.2</v>
      </c>
    </row>
    <row r="47" ht="15" customHeight="1" s="52">
      <c r="B47" s="54" t="inlineStr">
        <is>
          <t xml:space="preserve">  Bear</t>
        </is>
      </c>
      <c r="C47" s="63" t="n">
        <v>0.25</v>
      </c>
      <c r="D47" s="63" t="n">
        <v>0.25</v>
      </c>
      <c r="E47" s="63" t="n">
        <v>0.25</v>
      </c>
      <c r="F47" s="63" t="n">
        <v>0.25</v>
      </c>
      <c r="G47" s="63" t="n">
        <v>0.25</v>
      </c>
      <c r="H47" s="63" t="n">
        <v>0.25</v>
      </c>
      <c r="I47" s="63" t="n">
        <v>0.25</v>
      </c>
      <c r="J47" s="63" t="n">
        <v>0.25</v>
      </c>
    </row>
    <row r="48" ht="15" customHeight="1" s="52">
      <c r="B48" s="55" t="inlineStr">
        <is>
          <t xml:space="preserve">  → Active</t>
        </is>
      </c>
      <c r="C48" s="64">
        <f>IF($C$9=1,C45,IF($C$9=2,C46,C47))</f>
        <v/>
      </c>
      <c r="D48" s="64">
        <f>IF($C$9=1,D45,IF($C$9=2,D46,D47))</f>
        <v/>
      </c>
      <c r="E48" s="64">
        <f>IF($C$9=1,E45,IF($C$9=2,E46,E47))</f>
        <v/>
      </c>
      <c r="F48" s="64">
        <f>IF($C$9=1,F45,IF($C$9=2,F46,F47))</f>
        <v/>
      </c>
      <c r="G48" s="64">
        <f>IF($C$9=1,G45,IF($C$9=2,G46,G47))</f>
        <v/>
      </c>
      <c r="H48" s="64">
        <f>IF($C$9=1,H45,IF($C$9=2,H46,H47))</f>
        <v/>
      </c>
      <c r="I48" s="64">
        <f>IF($C$9=1,I45,IF($C$9=2,I46,I47))</f>
        <v/>
      </c>
      <c r="J48" s="64">
        <f>IF($C$9=1,J45,IF($C$9=2,J46,J47))</f>
        <v/>
      </c>
    </row>
    <row r="50" ht="15" customHeight="1" s="52">
      <c r="B50" s="58" t="inlineStr">
        <is>
          <t>WORKING CAPITAL &amp; CAPEX DRIVERS</t>
        </is>
      </c>
      <c r="C50" s="59" t="n"/>
      <c r="D50" s="59" t="n"/>
      <c r="E50" s="59" t="n"/>
      <c r="F50" s="59" t="n"/>
      <c r="G50" s="59" t="n"/>
      <c r="H50" s="59" t="n"/>
      <c r="I50" s="59" t="n"/>
      <c r="J50" s="59" t="n"/>
    </row>
    <row r="51" ht="15" customHeight="1" s="52">
      <c r="B51" s="65" t="inlineStr">
        <is>
          <t>Days sales outstanding (DSO)</t>
        </is>
      </c>
      <c r="C51" s="66" t="n">
        <v>45</v>
      </c>
      <c r="D51" s="66" t="n">
        <v>45</v>
      </c>
      <c r="E51" s="66" t="n">
        <v>45</v>
      </c>
      <c r="F51" s="66" t="n">
        <v>45</v>
      </c>
      <c r="G51" s="66" t="n">
        <v>45</v>
      </c>
      <c r="H51" s="66" t="n">
        <v>45</v>
      </c>
      <c r="I51" s="66" t="n">
        <v>45</v>
      </c>
      <c r="J51" s="66" t="n">
        <v>45</v>
      </c>
    </row>
    <row r="52" ht="15" customHeight="1" s="52">
      <c r="B52" s="65" t="inlineStr">
        <is>
          <t>Days inventory outstanding (DIO)</t>
        </is>
      </c>
      <c r="C52" s="66" t="n">
        <v>60</v>
      </c>
      <c r="D52" s="66" t="n">
        <v>60</v>
      </c>
      <c r="E52" s="66" t="n">
        <v>60</v>
      </c>
      <c r="F52" s="66" t="n">
        <v>60</v>
      </c>
      <c r="G52" s="66" t="n">
        <v>60</v>
      </c>
      <c r="H52" s="66" t="n">
        <v>60</v>
      </c>
      <c r="I52" s="66" t="n">
        <v>60</v>
      </c>
      <c r="J52" s="66" t="n">
        <v>60</v>
      </c>
    </row>
    <row r="53" ht="15" customHeight="1" s="52">
      <c r="B53" s="65" t="inlineStr">
        <is>
          <t>Days payable outstanding (DPO)</t>
        </is>
      </c>
      <c r="C53" s="66" t="n">
        <v>40</v>
      </c>
      <c r="D53" s="66" t="n">
        <v>40</v>
      </c>
      <c r="E53" s="66" t="n">
        <v>40</v>
      </c>
      <c r="F53" s="66" t="n">
        <v>40</v>
      </c>
      <c r="G53" s="66" t="n">
        <v>40</v>
      </c>
      <c r="H53" s="66" t="n">
        <v>40</v>
      </c>
      <c r="I53" s="66" t="n">
        <v>40</v>
      </c>
      <c r="J53" s="66" t="n">
        <v>40</v>
      </c>
    </row>
    <row r="54" ht="15" customHeight="1" s="52">
      <c r="B54" s="65" t="inlineStr">
        <is>
          <t>D&amp;A % of revenue</t>
        </is>
      </c>
      <c r="C54" s="63" t="n">
        <v>0.05</v>
      </c>
      <c r="D54" s="63" t="n">
        <v>0.05</v>
      </c>
      <c r="E54" s="63" t="n">
        <v>0.05</v>
      </c>
      <c r="F54" s="63" t="n">
        <v>0.05</v>
      </c>
      <c r="G54" s="63" t="n">
        <v>0.05</v>
      </c>
      <c r="H54" s="63" t="n">
        <v>0.05</v>
      </c>
      <c r="I54" s="63" t="n">
        <v>0.05</v>
      </c>
      <c r="J54" s="63" t="n">
        <v>0.05</v>
      </c>
    </row>
    <row r="55" ht="15" customHeight="1" s="52">
      <c r="B55" s="61" t="inlineStr">
        <is>
          <t>Capex % of revenue (scenario)</t>
        </is>
      </c>
      <c r="C55" s="62" t="n"/>
      <c r="D55" s="62" t="n"/>
      <c r="E55" s="62" t="n"/>
      <c r="F55" s="62" t="n"/>
      <c r="G55" s="62" t="n"/>
      <c r="H55" s="62" t="n"/>
      <c r="I55" s="62" t="n"/>
      <c r="J55" s="62" t="n"/>
    </row>
    <row r="56" ht="15" customHeight="1" s="52">
      <c r="B56" s="54" t="inlineStr">
        <is>
          <t xml:space="preserve">  Bull</t>
        </is>
      </c>
      <c r="C56" s="63" t="n">
        <v>0.05</v>
      </c>
      <c r="D56" s="63" t="n">
        <v>0.05</v>
      </c>
      <c r="E56" s="63" t="n">
        <v>0.05</v>
      </c>
      <c r="F56" s="63" t="n">
        <v>0.05</v>
      </c>
      <c r="G56" s="63" t="n">
        <v>0.05</v>
      </c>
      <c r="H56" s="63" t="n">
        <v>0.05</v>
      </c>
      <c r="I56" s="63" t="n">
        <v>0.05</v>
      </c>
      <c r="J56" s="63" t="n">
        <v>0.05</v>
      </c>
    </row>
    <row r="57" ht="15" customHeight="1" s="52">
      <c r="B57" s="54" t="inlineStr">
        <is>
          <t xml:space="preserve">  Base</t>
        </is>
      </c>
      <c r="C57" s="63" t="n">
        <v>0.06</v>
      </c>
      <c r="D57" s="63" t="n">
        <v>0.06</v>
      </c>
      <c r="E57" s="63" t="n">
        <v>0.06</v>
      </c>
      <c r="F57" s="63" t="n">
        <v>0.06</v>
      </c>
      <c r="G57" s="63" t="n">
        <v>0.06</v>
      </c>
      <c r="H57" s="63" t="n">
        <v>0.06</v>
      </c>
      <c r="I57" s="63" t="n">
        <v>0.06</v>
      </c>
      <c r="J57" s="63" t="n">
        <v>0.06</v>
      </c>
    </row>
    <row r="58" ht="15" customHeight="1" s="52">
      <c r="B58" s="54" t="inlineStr">
        <is>
          <t xml:space="preserve">  Bear</t>
        </is>
      </c>
      <c r="C58" s="63" t="n">
        <v>0.07000000000000001</v>
      </c>
      <c r="D58" s="63" t="n">
        <v>0.07000000000000001</v>
      </c>
      <c r="E58" s="63" t="n">
        <v>0.07000000000000001</v>
      </c>
      <c r="F58" s="63" t="n">
        <v>0.07000000000000001</v>
      </c>
      <c r="G58" s="63" t="n">
        <v>0.07000000000000001</v>
      </c>
      <c r="H58" s="63" t="n">
        <v>0.07000000000000001</v>
      </c>
      <c r="I58" s="63" t="n">
        <v>0.07000000000000001</v>
      </c>
      <c r="J58" s="63" t="n">
        <v>0.07000000000000001</v>
      </c>
    </row>
    <row r="59" ht="15" customHeight="1" s="52">
      <c r="B59" s="55" t="inlineStr">
        <is>
          <t xml:space="preserve">  → Active</t>
        </is>
      </c>
      <c r="C59" s="67">
        <f>IF($C$9=1,C56,IF($C$9=2,C57,C58))</f>
        <v/>
      </c>
      <c r="D59" s="67">
        <f>IF($C$9=1,D56,IF($C$9=2,D57,D58))</f>
        <v/>
      </c>
      <c r="E59" s="67">
        <f>IF($C$9=1,E56,IF($C$9=2,E57,E58))</f>
        <v/>
      </c>
      <c r="F59" s="67">
        <f>IF($C$9=1,F56,IF($C$9=2,F57,F58))</f>
        <v/>
      </c>
      <c r="G59" s="67">
        <f>IF($C$9=1,G56,IF($C$9=2,G57,G58))</f>
        <v/>
      </c>
      <c r="H59" s="67">
        <f>IF($C$9=1,H56,IF($C$9=2,H57,H58))</f>
        <v/>
      </c>
      <c r="I59" s="67">
        <f>IF($C$9=1,I56,IF($C$9=2,I57,I58))</f>
        <v/>
      </c>
      <c r="J59" s="67">
        <f>IF($C$9=1,J56,IF($C$9=2,J57,J58))</f>
        <v/>
      </c>
    </row>
    <row r="62" ht="15" customHeight="1" s="52">
      <c r="B62" s="58" t="inlineStr">
        <is>
          <t>DCF INPUTS — scenario aware</t>
        </is>
      </c>
      <c r="C62" s="68" t="inlineStr">
        <is>
          <t>Bull</t>
        </is>
      </c>
      <c r="D62" s="68" t="inlineStr">
        <is>
          <t>Base</t>
        </is>
      </c>
      <c r="E62" s="68" t="inlineStr">
        <is>
          <t>Bear</t>
        </is>
      </c>
      <c r="F62" s="58" t="inlineStr">
        <is>
          <t>Active</t>
        </is>
      </c>
      <c r="G62" s="59" t="n"/>
      <c r="H62" s="59" t="n"/>
      <c r="I62" s="59" t="n"/>
      <c r="J62" s="59" t="n"/>
    </row>
    <row r="63" ht="15" customHeight="1" s="52">
      <c r="B63" s="65" t="inlineStr">
        <is>
          <t>Terminal growth g %</t>
        </is>
      </c>
      <c r="C63" s="63" t="n">
        <v>0.03</v>
      </c>
      <c r="D63" s="63" t="n">
        <v>0.025</v>
      </c>
      <c r="E63" s="63" t="n">
        <v>0.02</v>
      </c>
      <c r="F63" s="69">
        <f>IF($C$9=1,C63,IF($C$9=2,D63,E63))</f>
        <v/>
      </c>
    </row>
    <row r="64" ht="15" customHeight="1" s="52">
      <c r="B64" s="65" t="inlineStr">
        <is>
          <t>Equity risk premium %</t>
        </is>
      </c>
      <c r="C64" s="63" t="n">
        <v>0.04</v>
      </c>
      <c r="D64" s="63" t="n">
        <v>0.0423</v>
      </c>
      <c r="E64" s="63" t="n">
        <v>0.046</v>
      </c>
      <c r="F64" s="69">
        <f>IF($C$9=1,C64,IF($C$9=2,D64,E64))</f>
        <v/>
      </c>
    </row>
    <row r="65" ht="15" customHeight="1" s="52">
      <c r="B65" s="65" t="inlineStr">
        <is>
          <t>Levered beta</t>
        </is>
      </c>
      <c r="C65" s="70" t="n">
        <v>1</v>
      </c>
      <c r="D65" s="70" t="n">
        <v>1.1</v>
      </c>
      <c r="E65" s="70" t="n">
        <v>1.25</v>
      </c>
      <c r="F65" s="71">
        <f>IF($C$9=1,C65,IF($C$9=2,D65,E65))</f>
        <v/>
      </c>
    </row>
    <row r="66" ht="15" customHeight="1" s="52">
      <c r="B66" s="65" t="inlineStr">
        <is>
          <t>Terminal EV/EBITDA exit</t>
        </is>
      </c>
      <c r="C66" s="72" t="n">
        <v>14</v>
      </c>
      <c r="D66" s="72" t="n">
        <v>12</v>
      </c>
      <c r="E66" s="72" t="n">
        <v>10</v>
      </c>
      <c r="F66" s="73">
        <f>IF($C$9=1,C66,IF($C$9=2,D66,E66))</f>
        <v/>
      </c>
    </row>
    <row r="68" ht="15" customHeight="1" s="52">
      <c r="B68" s="58" t="inlineStr">
        <is>
          <t>WACC / CAPITAL — fixed inputs</t>
        </is>
      </c>
      <c r="C68" s="59" t="n"/>
      <c r="D68" s="59" t="n"/>
      <c r="E68" s="59" t="n"/>
      <c r="F68" s="59" t="n"/>
      <c r="G68" s="59" t="n"/>
      <c r="H68" s="59" t="n"/>
      <c r="I68" s="59" t="n"/>
      <c r="J68" s="59" t="n"/>
    </row>
    <row r="69" ht="15" customHeight="1" s="52">
      <c r="B69" s="65" t="inlineStr">
        <is>
          <t>Risk-free rate (10Y UST)</t>
        </is>
      </c>
      <c r="C69" s="63" t="n">
        <v>0.0424</v>
      </c>
    </row>
    <row r="70" ht="15" customHeight="1" s="52">
      <c r="B70" s="65" t="inlineStr">
        <is>
          <t>Pre-tax cost of debt</t>
        </is>
      </c>
      <c r="C70" s="63" t="n">
        <v>0.05</v>
      </c>
    </row>
    <row r="71" ht="15" customHeight="1" s="52">
      <c r="B71" s="65" t="inlineStr">
        <is>
          <t>Target debt / total cap</t>
        </is>
      </c>
      <c r="C71" s="63" t="n">
        <v>0.2</v>
      </c>
    </row>
    <row r="72" ht="15" customHeight="1" s="52">
      <c r="B72" s="65" t="inlineStr">
        <is>
          <t>Mid-year convention (1/0)</t>
        </is>
      </c>
      <c r="C72" s="74" t="n">
        <v>1</v>
      </c>
    </row>
    <row r="73" ht="15" customHeight="1" s="52">
      <c r="B73" s="65" t="inlineStr">
        <is>
          <t>Circular interest toggle (1/0)</t>
        </is>
      </c>
      <c r="C73" s="60" t="n">
        <v>0</v>
      </c>
    </row>
    <row r="75" ht="15" customHeight="1" s="52">
      <c r="B75" s="58" t="inlineStr">
        <is>
          <t>SHARES / DEBT / SEED ACTUALS</t>
        </is>
      </c>
      <c r="C75" s="59" t="n"/>
      <c r="D75" s="59" t="n"/>
      <c r="E75" s="59" t="n"/>
      <c r="F75" s="59" t="n"/>
      <c r="G75" s="59" t="n"/>
      <c r="H75" s="59" t="n"/>
      <c r="I75" s="59" t="n"/>
      <c r="J75" s="59" t="n"/>
    </row>
    <row r="76" ht="15" customHeight="1" s="52">
      <c r="B76" s="65" t="inlineStr">
        <is>
          <t>Shares outstanding (mm)</t>
        </is>
      </c>
      <c r="C76" s="75" t="inlineStr">
        <is>
          <t>MISSING</t>
        </is>
      </c>
    </row>
    <row r="77" ht="15" customHeight="1" s="52">
      <c r="B77" s="65" t="inlineStr">
        <is>
          <t>Current share price</t>
        </is>
      </c>
      <c r="C77" s="76" t="inlineStr">
        <is>
          <t>MISSING</t>
        </is>
      </c>
    </row>
    <row r="78" ht="15" customHeight="1" s="52">
      <c r="B78" s="65" t="inlineStr">
        <is>
          <t>Cash &amp; equivalents (latest)</t>
        </is>
      </c>
      <c r="C78" s="77" t="inlineStr">
        <is>
          <t>MISSING</t>
        </is>
      </c>
    </row>
    <row r="79" ht="15" customHeight="1" s="52">
      <c r="B79" s="65" t="inlineStr">
        <is>
          <t>Revenue (historical actuals)</t>
        </is>
      </c>
      <c r="C79" s="77" t="inlineStr">
        <is>
          <t>MISSING</t>
        </is>
      </c>
      <c r="D79" s="77" t="inlineStr">
        <is>
          <t>MISSING</t>
        </is>
      </c>
      <c r="E79" s="77" t="inlineStr">
        <is>
          <t>MISSING</t>
        </is>
      </c>
    </row>
    <row r="80" ht="15" customHeight="1" s="52">
      <c r="B80" s="65" t="inlineStr">
        <is>
          <t>COGS (historical actuals)</t>
        </is>
      </c>
      <c r="C80" s="77" t="inlineStr">
        <is>
          <t>MISSING</t>
        </is>
      </c>
      <c r="D80" s="77" t="inlineStr">
        <is>
          <t>MISSING</t>
        </is>
      </c>
      <c r="E80" s="77" t="inlineStr">
        <is>
          <t>MISSING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B2:J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Income Statement</t>
        </is>
      </c>
    </row>
    <row r="3" ht="15" customHeight="1" s="52">
      <c r="B3" s="54" t="inlineStr">
        <is>
          <t>Revenue grows via scenario driver. Interest from debt schedule.</t>
        </is>
      </c>
    </row>
    <row r="5" ht="15" customHeight="1" s="52">
      <c r="B5" s="54" t="inlineStr">
        <is>
          <t>($ in millions)</t>
        </is>
      </c>
      <c r="C5" s="78">
        <f>Assumptions!C$5</f>
        <v/>
      </c>
      <c r="D5" s="78">
        <f>Assumptions!D$5</f>
        <v/>
      </c>
      <c r="E5" s="78">
        <f>Assumptions!E$5</f>
        <v/>
      </c>
      <c r="F5" s="78">
        <f>Assumptions!F$5</f>
        <v/>
      </c>
      <c r="G5" s="78">
        <f>Assumptions!G$5</f>
        <v/>
      </c>
      <c r="H5" s="78">
        <f>Assumptions!H$5</f>
        <v/>
      </c>
      <c r="I5" s="78">
        <f>Assumptions!I$5</f>
        <v/>
      </c>
      <c r="J5" s="78">
        <f>Assumptions!J$5</f>
        <v/>
      </c>
    </row>
    <row r="7" ht="15" customHeight="1" s="52">
      <c r="B7" s="55" t="inlineStr">
        <is>
          <t>Revenue</t>
        </is>
      </c>
      <c r="C7" s="79">
        <f>Assumptions!C79</f>
        <v/>
      </c>
      <c r="D7" s="79">
        <f>Assumptions!D79</f>
        <v/>
      </c>
      <c r="E7" s="79">
        <f>Assumptions!E79</f>
        <v/>
      </c>
      <c r="F7" s="80">
        <f>E7*(1+Assumptions!$F$18)</f>
        <v/>
      </c>
      <c r="G7" s="80">
        <f>F7*(1+Assumptions!$G$18)</f>
        <v/>
      </c>
      <c r="H7" s="80">
        <f>G7*(1+Assumptions!$H$18)</f>
        <v/>
      </c>
      <c r="I7" s="80">
        <f>H7*(1+Assumptions!$I$18)</f>
        <v/>
      </c>
      <c r="J7" s="80">
        <f>I7*(1+Assumptions!$J$18)</f>
        <v/>
      </c>
    </row>
    <row r="8" ht="15" customHeight="1" s="52">
      <c r="B8" s="65" t="inlineStr">
        <is>
          <t xml:space="preserve">  Cost of goods sold</t>
        </is>
      </c>
      <c r="C8" s="79">
        <f>Assumptions!C80</f>
        <v/>
      </c>
      <c r="D8" s="79">
        <f>Assumptions!D80</f>
        <v/>
      </c>
      <c r="E8" s="79">
        <f>Assumptions!E80</f>
        <v/>
      </c>
      <c r="F8" s="80">
        <f>F7*(1-Assumptions!$F$24)</f>
        <v/>
      </c>
      <c r="G8" s="80">
        <f>G7*(1-Assumptions!$G$24)</f>
        <v/>
      </c>
      <c r="H8" s="80">
        <f>H7*(1-Assumptions!$H$24)</f>
        <v/>
      </c>
      <c r="I8" s="80">
        <f>I7*(1-Assumptions!$I$24)</f>
        <v/>
      </c>
      <c r="J8" s="80">
        <f>J7*(1-Assumptions!$J$24)</f>
        <v/>
      </c>
    </row>
    <row r="9" ht="15" customHeight="1" s="52">
      <c r="B9" s="55" t="inlineStr">
        <is>
          <t>Gross profit</t>
        </is>
      </c>
      <c r="C9" s="81">
        <f>C7-C8</f>
        <v/>
      </c>
      <c r="D9" s="81">
        <f>D7-D8</f>
        <v/>
      </c>
      <c r="E9" s="81">
        <f>E7-E8</f>
        <v/>
      </c>
      <c r="F9" s="81">
        <f>F7-F8</f>
        <v/>
      </c>
      <c r="G9" s="81">
        <f>G7-G8</f>
        <v/>
      </c>
      <c r="H9" s="81">
        <f>H7-H8</f>
        <v/>
      </c>
      <c r="I9" s="81">
        <f>I7-I8</f>
        <v/>
      </c>
      <c r="J9" s="81">
        <f>J7-J8</f>
        <v/>
      </c>
    </row>
    <row r="10" ht="15" customHeight="1" s="52">
      <c r="B10" s="65" t="inlineStr">
        <is>
          <t xml:space="preserve">  SG&amp;A</t>
        </is>
      </c>
      <c r="C10" s="80">
        <f>C7*Assumptions!$C$30</f>
        <v/>
      </c>
      <c r="D10" s="80">
        <f>D7*Assumptions!$D$30</f>
        <v/>
      </c>
      <c r="E10" s="80">
        <f>E7*Assumptions!$E$30</f>
        <v/>
      </c>
      <c r="F10" s="80">
        <f>F7*Assumptions!$F$30</f>
        <v/>
      </c>
      <c r="G10" s="80">
        <f>G7*Assumptions!$G$30</f>
        <v/>
      </c>
      <c r="H10" s="80">
        <f>H7*Assumptions!$H$30</f>
        <v/>
      </c>
      <c r="I10" s="80">
        <f>I7*Assumptions!$I$30</f>
        <v/>
      </c>
      <c r="J10" s="80">
        <f>J7*Assumptions!$J$30</f>
        <v/>
      </c>
    </row>
    <row r="11" ht="15" customHeight="1" s="52">
      <c r="B11" s="65" t="inlineStr">
        <is>
          <t xml:space="preserve">  R&amp;D</t>
        </is>
      </c>
      <c r="C11" s="80">
        <f>C7*Assumptions!$C$36</f>
        <v/>
      </c>
      <c r="D11" s="80">
        <f>D7*Assumptions!$D$36</f>
        <v/>
      </c>
      <c r="E11" s="80">
        <f>E7*Assumptions!$E$36</f>
        <v/>
      </c>
      <c r="F11" s="80">
        <f>F7*Assumptions!$F$36</f>
        <v/>
      </c>
      <c r="G11" s="80">
        <f>G7*Assumptions!$G$36</f>
        <v/>
      </c>
      <c r="H11" s="80">
        <f>H7*Assumptions!$H$36</f>
        <v/>
      </c>
      <c r="I11" s="80">
        <f>I7*Assumptions!$I$36</f>
        <v/>
      </c>
      <c r="J11" s="80">
        <f>J7*Assumptions!$J$36</f>
        <v/>
      </c>
    </row>
    <row r="12" ht="15" customHeight="1" s="52">
      <c r="B12" s="55" t="inlineStr">
        <is>
          <t>EBITDA</t>
        </is>
      </c>
      <c r="C12" s="82">
        <f>C9-C10-C11</f>
        <v/>
      </c>
      <c r="D12" s="82">
        <f>D9-D10-D11</f>
        <v/>
      </c>
      <c r="E12" s="82">
        <f>E9-E10-E11</f>
        <v/>
      </c>
      <c r="F12" s="82">
        <f>F9-F10-F11</f>
        <v/>
      </c>
      <c r="G12" s="82">
        <f>G9-G10-G11</f>
        <v/>
      </c>
      <c r="H12" s="82">
        <f>H9-H10-H11</f>
        <v/>
      </c>
      <c r="I12" s="82">
        <f>I9-I10-I11</f>
        <v/>
      </c>
      <c r="J12" s="82">
        <f>J9-J10-J11</f>
        <v/>
      </c>
    </row>
    <row r="13" ht="15" customHeight="1" s="52">
      <c r="B13" s="65" t="inlineStr">
        <is>
          <t xml:space="preserve">  Depreciation &amp; amortization</t>
        </is>
      </c>
      <c r="C13" s="79">
        <f>'PP&amp;E Schedule'!C9</f>
        <v/>
      </c>
      <c r="D13" s="79">
        <f>'PP&amp;E Schedule'!D9</f>
        <v/>
      </c>
      <c r="E13" s="79">
        <f>'PP&amp;E Schedule'!E9</f>
        <v/>
      </c>
      <c r="F13" s="79">
        <f>'PP&amp;E Schedule'!F9</f>
        <v/>
      </c>
      <c r="G13" s="79">
        <f>'PP&amp;E Schedule'!G9</f>
        <v/>
      </c>
      <c r="H13" s="79">
        <f>'PP&amp;E Schedule'!H9</f>
        <v/>
      </c>
      <c r="I13" s="79">
        <f>'PP&amp;E Schedule'!I9</f>
        <v/>
      </c>
      <c r="J13" s="79">
        <f>'PP&amp;E Schedule'!J9</f>
        <v/>
      </c>
    </row>
    <row r="14" ht="15" customHeight="1" s="52">
      <c r="B14" s="55" t="inlineStr">
        <is>
          <t>EBIT (operating income)</t>
        </is>
      </c>
      <c r="C14" s="82">
        <f>C12-C13</f>
        <v/>
      </c>
      <c r="D14" s="82">
        <f>D12-D13</f>
        <v/>
      </c>
      <c r="E14" s="82">
        <f>E12-E13</f>
        <v/>
      </c>
      <c r="F14" s="82">
        <f>F12-F13</f>
        <v/>
      </c>
      <c r="G14" s="82">
        <f>G12-G13</f>
        <v/>
      </c>
      <c r="H14" s="82">
        <f>H12-H13</f>
        <v/>
      </c>
      <c r="I14" s="82">
        <f>I12-I13</f>
        <v/>
      </c>
      <c r="J14" s="82">
        <f>J12-J13</f>
        <v/>
      </c>
    </row>
    <row r="15" ht="15" customHeight="1" s="52">
      <c r="B15" s="65" t="inlineStr">
        <is>
          <t xml:space="preserve">  Interest expense, net</t>
        </is>
      </c>
      <c r="C15" s="79">
        <f>'Debt Schedule'!C21</f>
        <v/>
      </c>
      <c r="D15" s="79">
        <f>'Debt Schedule'!D21</f>
        <v/>
      </c>
      <c r="E15" s="79">
        <f>'Debt Schedule'!E21</f>
        <v/>
      </c>
      <c r="F15" s="79">
        <f>'Debt Schedule'!F21</f>
        <v/>
      </c>
      <c r="G15" s="79">
        <f>'Debt Schedule'!G21</f>
        <v/>
      </c>
      <c r="H15" s="79">
        <f>'Debt Schedule'!H21</f>
        <v/>
      </c>
      <c r="I15" s="79">
        <f>'Debt Schedule'!I21</f>
        <v/>
      </c>
      <c r="J15" s="79">
        <f>'Debt Schedule'!J21</f>
        <v/>
      </c>
    </row>
    <row r="16" ht="15" customHeight="1" s="52">
      <c r="B16" s="55" t="inlineStr">
        <is>
          <t>Pre-tax income</t>
        </is>
      </c>
      <c r="C16" s="82">
        <f>C14-C15</f>
        <v/>
      </c>
      <c r="D16" s="82">
        <f>D14-D15</f>
        <v/>
      </c>
      <c r="E16" s="82">
        <f>E14-E15</f>
        <v/>
      </c>
      <c r="F16" s="82">
        <f>F14-F15</f>
        <v/>
      </c>
      <c r="G16" s="82">
        <f>G14-G15</f>
        <v/>
      </c>
      <c r="H16" s="82">
        <f>H14-H15</f>
        <v/>
      </c>
      <c r="I16" s="82">
        <f>I14-I15</f>
        <v/>
      </c>
      <c r="J16" s="82">
        <f>J14-J15</f>
        <v/>
      </c>
    </row>
    <row r="17" ht="15" customHeight="1" s="52">
      <c r="B17" s="65" t="inlineStr">
        <is>
          <t xml:space="preserve">  Income taxes</t>
        </is>
      </c>
      <c r="C17" s="80">
        <f>MAX(C16,0)*Assumptions!$C$42</f>
        <v/>
      </c>
      <c r="D17" s="80">
        <f>MAX(D16,0)*Assumptions!$D$42</f>
        <v/>
      </c>
      <c r="E17" s="80">
        <f>MAX(E16,0)*Assumptions!$E$42</f>
        <v/>
      </c>
      <c r="F17" s="80">
        <f>MAX(F16,0)*Assumptions!$F$42</f>
        <v/>
      </c>
      <c r="G17" s="80">
        <f>MAX(G16,0)*Assumptions!$G$42</f>
        <v/>
      </c>
      <c r="H17" s="80">
        <f>MAX(H16,0)*Assumptions!$H$42</f>
        <v/>
      </c>
      <c r="I17" s="80">
        <f>MAX(I16,0)*Assumptions!$I$42</f>
        <v/>
      </c>
      <c r="J17" s="80">
        <f>MAX(J16,0)*Assumptions!$J$42</f>
        <v/>
      </c>
    </row>
    <row r="18" ht="15" customHeight="1" s="52">
      <c r="B18" s="55" t="inlineStr">
        <is>
          <t>Net income</t>
        </is>
      </c>
      <c r="C18" s="82">
        <f>C16-C17</f>
        <v/>
      </c>
      <c r="D18" s="82">
        <f>D16-D17</f>
        <v/>
      </c>
      <c r="E18" s="82">
        <f>E16-E17</f>
        <v/>
      </c>
      <c r="F18" s="82">
        <f>F16-F17</f>
        <v/>
      </c>
      <c r="G18" s="82">
        <f>G16-G17</f>
        <v/>
      </c>
      <c r="H18" s="82">
        <f>H16-H17</f>
        <v/>
      </c>
      <c r="I18" s="82">
        <f>I16-I17</f>
        <v/>
      </c>
      <c r="J18" s="82">
        <f>J16-J17</f>
        <v/>
      </c>
    </row>
    <row r="19" ht="15" customHeight="1" s="52">
      <c r="B19" s="65" t="inlineStr">
        <is>
          <t xml:space="preserve">  Dividends paid</t>
        </is>
      </c>
      <c r="C19" s="80">
        <f>C18*Assumptions!$C$48</f>
        <v/>
      </c>
      <c r="D19" s="80">
        <f>D18*Assumptions!$D$48</f>
        <v/>
      </c>
      <c r="E19" s="80">
        <f>E18*Assumptions!$E$48</f>
        <v/>
      </c>
      <c r="F19" s="80">
        <f>F18*Assumptions!$F$48</f>
        <v/>
      </c>
      <c r="G19" s="80">
        <f>G18*Assumptions!$G$48</f>
        <v/>
      </c>
      <c r="H19" s="80">
        <f>H18*Assumptions!$H$48</f>
        <v/>
      </c>
      <c r="I19" s="80">
        <f>I18*Assumptions!$I$48</f>
        <v/>
      </c>
      <c r="J19" s="80">
        <f>J18*Assumptions!$J$48</f>
        <v/>
      </c>
    </row>
    <row r="20" ht="15" customHeight="1" s="52">
      <c r="B20" s="65" t="inlineStr">
        <is>
          <t>Retained earnings addition</t>
        </is>
      </c>
      <c r="C20" s="80">
        <f>C18-C19</f>
        <v/>
      </c>
      <c r="D20" s="80">
        <f>D18-D19</f>
        <v/>
      </c>
      <c r="E20" s="80">
        <f>E18-E19</f>
        <v/>
      </c>
      <c r="F20" s="80">
        <f>F18-F19</f>
        <v/>
      </c>
      <c r="G20" s="80">
        <f>G18-G19</f>
        <v/>
      </c>
      <c r="H20" s="80">
        <f>H18-H19</f>
        <v/>
      </c>
      <c r="I20" s="80">
        <f>I18-I19</f>
        <v/>
      </c>
      <c r="J20" s="80">
        <f>J18-J19</f>
        <v/>
      </c>
    </row>
    <row r="22" ht="15" customHeight="1" s="52">
      <c r="B22" s="55" t="inlineStr">
        <is>
          <t>EPS (diluted, $)</t>
        </is>
      </c>
      <c r="C22" s="83">
        <f>C18/C23</f>
        <v/>
      </c>
      <c r="D22" s="83">
        <f>D18/D23</f>
        <v/>
      </c>
      <c r="E22" s="83">
        <f>E18/E23</f>
        <v/>
      </c>
      <c r="F22" s="83">
        <f>F18/F23</f>
        <v/>
      </c>
      <c r="G22" s="83">
        <f>G18/G23</f>
        <v/>
      </c>
      <c r="H22" s="83">
        <f>H18/H23</f>
        <v/>
      </c>
      <c r="I22" s="83">
        <f>I18/I23</f>
        <v/>
      </c>
      <c r="J22" s="83">
        <f>J18/J23</f>
        <v/>
      </c>
    </row>
    <row r="23" ht="15" customHeight="1" s="52">
      <c r="B23" s="65" t="inlineStr">
        <is>
          <t xml:space="preserve">  Diluted shares (mm)</t>
        </is>
      </c>
      <c r="C23" s="84">
        <f>Assumptions!$C$76</f>
        <v/>
      </c>
      <c r="D23" s="84">
        <f>Assumptions!$C$76</f>
        <v/>
      </c>
      <c r="E23" s="84">
        <f>Assumptions!$C$76</f>
        <v/>
      </c>
      <c r="F23" s="84">
        <f>Assumptions!$C$76</f>
        <v/>
      </c>
      <c r="G23" s="84">
        <f>Assumptions!$C$76</f>
        <v/>
      </c>
      <c r="H23" s="84">
        <f>Assumptions!$C$76</f>
        <v/>
      </c>
      <c r="I23" s="84">
        <f>Assumptions!$C$76</f>
        <v/>
      </c>
      <c r="J23" s="84">
        <f>Assumptions!$C$76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B2:J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Balance Sheet</t>
        </is>
      </c>
    </row>
    <row r="3" ht="15" customHeight="1" s="52">
      <c r="B3" s="54" t="inlineStr">
        <is>
          <t>All lines from schedules. Cash from CF. Equity roll-forward. Must balance.</t>
        </is>
      </c>
    </row>
    <row r="5" ht="15" customHeight="1" s="52">
      <c r="B5" s="54" t="inlineStr">
        <is>
          <t>($ in millions)</t>
        </is>
      </c>
      <c r="C5" s="78">
        <f>Assumptions!C$5</f>
        <v/>
      </c>
      <c r="D5" s="78">
        <f>Assumptions!D$5</f>
        <v/>
      </c>
      <c r="E5" s="78">
        <f>Assumptions!E$5</f>
        <v/>
      </c>
      <c r="F5" s="78">
        <f>Assumptions!F$5</f>
        <v/>
      </c>
      <c r="G5" s="78">
        <f>Assumptions!G$5</f>
        <v/>
      </c>
      <c r="H5" s="78">
        <f>Assumptions!H$5</f>
        <v/>
      </c>
      <c r="I5" s="78">
        <f>Assumptions!I$5</f>
        <v/>
      </c>
      <c r="J5" s="78">
        <f>Assumptions!J$5</f>
        <v/>
      </c>
    </row>
    <row r="7" ht="15" customHeight="1" s="52">
      <c r="B7" s="55" t="inlineStr">
        <is>
          <t>ASSETS</t>
        </is>
      </c>
    </row>
    <row r="8" ht="15" customHeight="1" s="52">
      <c r="B8" s="65" t="inlineStr">
        <is>
          <t xml:space="preserve">  Cash &amp; equivalents</t>
        </is>
      </c>
      <c r="C8" s="79">
        <f>'Cash Flow'!C21</f>
        <v/>
      </c>
      <c r="D8" s="79">
        <f>'Cash Flow'!D21</f>
        <v/>
      </c>
      <c r="E8" s="79">
        <f>'Cash Flow'!E21</f>
        <v/>
      </c>
      <c r="F8" s="79">
        <f>'Cash Flow'!F21</f>
        <v/>
      </c>
      <c r="G8" s="79">
        <f>'Cash Flow'!G21</f>
        <v/>
      </c>
      <c r="H8" s="79">
        <f>'Cash Flow'!H21</f>
        <v/>
      </c>
      <c r="I8" s="79">
        <f>'Cash Flow'!I21</f>
        <v/>
      </c>
      <c r="J8" s="79">
        <f>'Cash Flow'!J21</f>
        <v/>
      </c>
    </row>
    <row r="9" ht="15" customHeight="1" s="52">
      <c r="B9" s="65" t="inlineStr">
        <is>
          <t xml:space="preserve">  Accounts receivable</t>
        </is>
      </c>
      <c r="C9" s="79">
        <f>'WC Schedule'!C7</f>
        <v/>
      </c>
      <c r="D9" s="79">
        <f>'WC Schedule'!D7</f>
        <v/>
      </c>
      <c r="E9" s="79">
        <f>'WC Schedule'!E7</f>
        <v/>
      </c>
      <c r="F9" s="79">
        <f>'WC Schedule'!F7</f>
        <v/>
      </c>
      <c r="G9" s="79">
        <f>'WC Schedule'!G7</f>
        <v/>
      </c>
      <c r="H9" s="79">
        <f>'WC Schedule'!H7</f>
        <v/>
      </c>
      <c r="I9" s="79">
        <f>'WC Schedule'!I7</f>
        <v/>
      </c>
      <c r="J9" s="79">
        <f>'WC Schedule'!J7</f>
        <v/>
      </c>
    </row>
    <row r="10" ht="15" customHeight="1" s="52">
      <c r="B10" s="65" t="inlineStr">
        <is>
          <t xml:space="preserve">  Inventory</t>
        </is>
      </c>
      <c r="C10" s="79">
        <f>'WC Schedule'!C8</f>
        <v/>
      </c>
      <c r="D10" s="79">
        <f>'WC Schedule'!D8</f>
        <v/>
      </c>
      <c r="E10" s="79">
        <f>'WC Schedule'!E8</f>
        <v/>
      </c>
      <c r="F10" s="79">
        <f>'WC Schedule'!F8</f>
        <v/>
      </c>
      <c r="G10" s="79">
        <f>'WC Schedule'!G8</f>
        <v/>
      </c>
      <c r="H10" s="79">
        <f>'WC Schedule'!H8</f>
        <v/>
      </c>
      <c r="I10" s="79">
        <f>'WC Schedule'!I8</f>
        <v/>
      </c>
      <c r="J10" s="79">
        <f>'WC Schedule'!J8</f>
        <v/>
      </c>
    </row>
    <row r="11" ht="15" customHeight="1" s="52">
      <c r="B11" s="65" t="inlineStr">
        <is>
          <t xml:space="preserve">  Net PP&amp;E</t>
        </is>
      </c>
      <c r="C11" s="79">
        <f>'PP&amp;E Schedule'!C10</f>
        <v/>
      </c>
      <c r="D11" s="79">
        <f>'PP&amp;E Schedule'!D10</f>
        <v/>
      </c>
      <c r="E11" s="79">
        <f>'PP&amp;E Schedule'!E10</f>
        <v/>
      </c>
      <c r="F11" s="79">
        <f>'PP&amp;E Schedule'!F10</f>
        <v/>
      </c>
      <c r="G11" s="79">
        <f>'PP&amp;E Schedule'!G10</f>
        <v/>
      </c>
      <c r="H11" s="79">
        <f>'PP&amp;E Schedule'!H10</f>
        <v/>
      </c>
      <c r="I11" s="79">
        <f>'PP&amp;E Schedule'!I10</f>
        <v/>
      </c>
      <c r="J11" s="79">
        <f>'PP&amp;E Schedule'!J10</f>
        <v/>
      </c>
    </row>
    <row r="12" ht="15" customHeight="1" s="52">
      <c r="B12" s="55" t="inlineStr">
        <is>
          <t>Total assets</t>
        </is>
      </c>
      <c r="C12" s="82">
        <f>C8+C9+C10+C11</f>
        <v/>
      </c>
      <c r="D12" s="82">
        <f>D8+D9+D10+D11</f>
        <v/>
      </c>
      <c r="E12" s="82">
        <f>E8+E9+E10+E11</f>
        <v/>
      </c>
      <c r="F12" s="82">
        <f>F8+F9+F10+F11</f>
        <v/>
      </c>
      <c r="G12" s="82">
        <f>G8+G9+G10+G11</f>
        <v/>
      </c>
      <c r="H12" s="82">
        <f>H8+H9+H10+H11</f>
        <v/>
      </c>
      <c r="I12" s="82">
        <f>I8+I9+I10+I11</f>
        <v/>
      </c>
      <c r="J12" s="82">
        <f>J8+J9+J10+J11</f>
        <v/>
      </c>
    </row>
    <row r="14" ht="15" customHeight="1" s="52">
      <c r="B14" s="55" t="inlineStr">
        <is>
          <t>LIABILITIES &amp; EQUITY</t>
        </is>
      </c>
    </row>
    <row r="15" ht="15" customHeight="1" s="52">
      <c r="B15" s="65" t="inlineStr">
        <is>
          <t xml:space="preserve">  Accounts payable</t>
        </is>
      </c>
      <c r="C15" s="79">
        <f>'WC Schedule'!C9</f>
        <v/>
      </c>
      <c r="D15" s="79">
        <f>'WC Schedule'!D9</f>
        <v/>
      </c>
      <c r="E15" s="79">
        <f>'WC Schedule'!E9</f>
        <v/>
      </c>
      <c r="F15" s="79">
        <f>'WC Schedule'!F9</f>
        <v/>
      </c>
      <c r="G15" s="79">
        <f>'WC Schedule'!G9</f>
        <v/>
      </c>
      <c r="H15" s="79">
        <f>'WC Schedule'!H9</f>
        <v/>
      </c>
      <c r="I15" s="79">
        <f>'WC Schedule'!I9</f>
        <v/>
      </c>
      <c r="J15" s="79">
        <f>'WC Schedule'!J9</f>
        <v/>
      </c>
    </row>
    <row r="16" ht="15" customHeight="1" s="52">
      <c r="B16" s="65" t="inlineStr">
        <is>
          <t xml:space="preserve">  Total debt</t>
        </is>
      </c>
      <c r="C16" s="79">
        <f>'Debt Schedule'!C19</f>
        <v/>
      </c>
      <c r="D16" s="79">
        <f>'Debt Schedule'!D19</f>
        <v/>
      </c>
      <c r="E16" s="79">
        <f>'Debt Schedule'!E19</f>
        <v/>
      </c>
      <c r="F16" s="79">
        <f>'Debt Schedule'!F19</f>
        <v/>
      </c>
      <c r="G16" s="79">
        <f>'Debt Schedule'!G19</f>
        <v/>
      </c>
      <c r="H16" s="79">
        <f>'Debt Schedule'!H19</f>
        <v/>
      </c>
      <c r="I16" s="79">
        <f>'Debt Schedule'!I19</f>
        <v/>
      </c>
      <c r="J16" s="79">
        <f>'Debt Schedule'!J19</f>
        <v/>
      </c>
    </row>
    <row r="17" ht="15" customHeight="1" s="52">
      <c r="B17" s="65" t="inlineStr">
        <is>
          <t xml:space="preserve">  Common equity</t>
        </is>
      </c>
      <c r="C17" s="80">
        <f>(C8+C9+C10+C11)-C15-C16</f>
        <v/>
      </c>
      <c r="D17" s="80">
        <f>C17+'Income Statement'!D20</f>
        <v/>
      </c>
      <c r="E17" s="80">
        <f>D17+'Income Statement'!E20</f>
        <v/>
      </c>
      <c r="F17" s="80">
        <f>E17+'Income Statement'!F20</f>
        <v/>
      </c>
      <c r="G17" s="80">
        <f>F17+'Income Statement'!G20</f>
        <v/>
      </c>
      <c r="H17" s="80">
        <f>G17+'Income Statement'!H20</f>
        <v/>
      </c>
      <c r="I17" s="80">
        <f>H17+'Income Statement'!I20</f>
        <v/>
      </c>
      <c r="J17" s="80">
        <f>I17+'Income Statement'!J20</f>
        <v/>
      </c>
    </row>
    <row r="18" ht="15" customHeight="1" s="52">
      <c r="B18" s="55" t="inlineStr">
        <is>
          <t>Total liab. &amp; equity</t>
        </is>
      </c>
      <c r="C18" s="82">
        <f>C15+C16+C17</f>
        <v/>
      </c>
      <c r="D18" s="82">
        <f>D15+D16+D17</f>
        <v/>
      </c>
      <c r="E18" s="82">
        <f>E15+E16+E17</f>
        <v/>
      </c>
      <c r="F18" s="82">
        <f>F15+F16+F17</f>
        <v/>
      </c>
      <c r="G18" s="82">
        <f>G15+G16+G17</f>
        <v/>
      </c>
      <c r="H18" s="82">
        <f>H15+H16+H17</f>
        <v/>
      </c>
      <c r="I18" s="82">
        <f>I15+I16+I17</f>
        <v/>
      </c>
      <c r="J18" s="82">
        <f>J15+J16+J17</f>
        <v/>
      </c>
    </row>
    <row r="20" ht="15" customHeight="1" s="52">
      <c r="B20" s="55" t="inlineStr">
        <is>
          <t>BALANCE CHECK (=0)</t>
        </is>
      </c>
      <c r="C20" s="85">
        <f>C12-C18</f>
        <v/>
      </c>
      <c r="D20" s="85">
        <f>D12-D18</f>
        <v/>
      </c>
      <c r="E20" s="85">
        <f>E12-E18</f>
        <v/>
      </c>
      <c r="F20" s="85">
        <f>F12-F18</f>
        <v/>
      </c>
      <c r="G20" s="85">
        <f>G12-G18</f>
        <v/>
      </c>
      <c r="H20" s="85">
        <f>H12-H18</f>
        <v/>
      </c>
      <c r="I20" s="85">
        <f>I12-I18</f>
        <v/>
      </c>
      <c r="J20" s="85">
        <f>J12-J18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B2:J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Cash Flow Statement</t>
        </is>
      </c>
    </row>
    <row r="3" ht="15" customHeight="1" s="52">
      <c r="B3" s="54" t="inlineStr">
        <is>
          <t>Indirect method. Pre-financing flow feeds revolver logic. Ends → balance sheet cash.</t>
        </is>
      </c>
    </row>
    <row r="5" ht="15" customHeight="1" s="52">
      <c r="B5" s="54" t="inlineStr">
        <is>
          <t>($ in millions)</t>
        </is>
      </c>
      <c r="C5" s="78">
        <f>Assumptions!C$5</f>
        <v/>
      </c>
      <c r="D5" s="78">
        <f>Assumptions!D$5</f>
        <v/>
      </c>
      <c r="E5" s="78">
        <f>Assumptions!E$5</f>
        <v/>
      </c>
      <c r="F5" s="78">
        <f>Assumptions!F$5</f>
        <v/>
      </c>
      <c r="G5" s="78">
        <f>Assumptions!G$5</f>
        <v/>
      </c>
      <c r="H5" s="78">
        <f>Assumptions!H$5</f>
        <v/>
      </c>
      <c r="I5" s="78">
        <f>Assumptions!I$5</f>
        <v/>
      </c>
      <c r="J5" s="78">
        <f>Assumptions!J$5</f>
        <v/>
      </c>
    </row>
    <row r="7" ht="15" customHeight="1" s="52">
      <c r="B7" s="65" t="inlineStr">
        <is>
          <t xml:space="preserve">  Net income</t>
        </is>
      </c>
      <c r="C7" s="79">
        <f>'Income Statement'!C18</f>
        <v/>
      </c>
      <c r="D7" s="79">
        <f>'Income Statement'!D18</f>
        <v/>
      </c>
      <c r="E7" s="79">
        <f>'Income Statement'!E18</f>
        <v/>
      </c>
      <c r="F7" s="79">
        <f>'Income Statement'!F18</f>
        <v/>
      </c>
      <c r="G7" s="79">
        <f>'Income Statement'!G18</f>
        <v/>
      </c>
      <c r="H7" s="79">
        <f>'Income Statement'!H18</f>
        <v/>
      </c>
      <c r="I7" s="79">
        <f>'Income Statement'!I18</f>
        <v/>
      </c>
      <c r="J7" s="79">
        <f>'Income Statement'!J18</f>
        <v/>
      </c>
    </row>
    <row r="8" ht="15" customHeight="1" s="52">
      <c r="B8" s="65" t="inlineStr">
        <is>
          <t xml:space="preserve">  Add: D&amp;A</t>
        </is>
      </c>
      <c r="C8" s="79">
        <f>'Income Statement'!C13</f>
        <v/>
      </c>
      <c r="D8" s="79">
        <f>'Income Statement'!D13</f>
        <v/>
      </c>
      <c r="E8" s="79">
        <f>'Income Statement'!E13</f>
        <v/>
      </c>
      <c r="F8" s="79">
        <f>'Income Statement'!F13</f>
        <v/>
      </c>
      <c r="G8" s="79">
        <f>'Income Statement'!G13</f>
        <v/>
      </c>
      <c r="H8" s="79">
        <f>'Income Statement'!H13</f>
        <v/>
      </c>
      <c r="I8" s="79">
        <f>'Income Statement'!I13</f>
        <v/>
      </c>
      <c r="J8" s="79">
        <f>'Income Statement'!J13</f>
        <v/>
      </c>
    </row>
    <row r="9" ht="15" customHeight="1" s="52">
      <c r="B9" s="65" t="inlineStr">
        <is>
          <t xml:space="preserve">  Less: change in NWC</t>
        </is>
      </c>
      <c r="C9" s="79">
        <f>'WC Schedule'!C11</f>
        <v/>
      </c>
      <c r="D9" s="79">
        <f>'WC Schedule'!D11</f>
        <v/>
      </c>
      <c r="E9" s="79">
        <f>'WC Schedule'!E11</f>
        <v/>
      </c>
      <c r="F9" s="79">
        <f>'WC Schedule'!F11</f>
        <v/>
      </c>
      <c r="G9" s="79">
        <f>'WC Schedule'!G11</f>
        <v/>
      </c>
      <c r="H9" s="79">
        <f>'WC Schedule'!H11</f>
        <v/>
      </c>
      <c r="I9" s="79">
        <f>'WC Schedule'!I11</f>
        <v/>
      </c>
      <c r="J9" s="79">
        <f>'WC Schedule'!J11</f>
        <v/>
      </c>
    </row>
    <row r="10" ht="15" customHeight="1" s="52">
      <c r="B10" s="55" t="inlineStr">
        <is>
          <t>Cash flow from operations</t>
        </is>
      </c>
      <c r="C10" s="82">
        <f>C7+C8-C9</f>
        <v/>
      </c>
      <c r="D10" s="82">
        <f>D7+D8-D9</f>
        <v/>
      </c>
      <c r="E10" s="82">
        <f>E7+E8-E9</f>
        <v/>
      </c>
      <c r="F10" s="82">
        <f>F7+F8-F9</f>
        <v/>
      </c>
      <c r="G10" s="82">
        <f>G7+G8-G9</f>
        <v/>
      </c>
      <c r="H10" s="82">
        <f>H7+H8-H9</f>
        <v/>
      </c>
      <c r="I10" s="82">
        <f>I7+I8-I9</f>
        <v/>
      </c>
      <c r="J10" s="82">
        <f>J7+J8-J9</f>
        <v/>
      </c>
    </row>
    <row r="11" ht="15" customHeight="1" s="52">
      <c r="B11" s="65" t="inlineStr">
        <is>
          <t xml:space="preserve">  Less: capex</t>
        </is>
      </c>
      <c r="C11" s="79">
        <f>'PP&amp;E Schedule'!C8</f>
        <v/>
      </c>
      <c r="D11" s="79">
        <f>'PP&amp;E Schedule'!D8</f>
        <v/>
      </c>
      <c r="E11" s="79">
        <f>'PP&amp;E Schedule'!E8</f>
        <v/>
      </c>
      <c r="F11" s="79">
        <f>'PP&amp;E Schedule'!F8</f>
        <v/>
      </c>
      <c r="G11" s="79">
        <f>'PP&amp;E Schedule'!G8</f>
        <v/>
      </c>
      <c r="H11" s="79">
        <f>'PP&amp;E Schedule'!H8</f>
        <v/>
      </c>
      <c r="I11" s="79">
        <f>'PP&amp;E Schedule'!I8</f>
        <v/>
      </c>
      <c r="J11" s="79">
        <f>'PP&amp;E Schedule'!J8</f>
        <v/>
      </c>
    </row>
    <row r="12" ht="15" customHeight="1" s="52">
      <c r="B12" s="55" t="inlineStr">
        <is>
          <t>Cash flow from investing</t>
        </is>
      </c>
      <c r="C12" s="86">
        <f>-C11</f>
        <v/>
      </c>
      <c r="D12" s="86">
        <f>-D11</f>
        <v/>
      </c>
      <c r="E12" s="86">
        <f>-E11</f>
        <v/>
      </c>
      <c r="F12" s="86">
        <f>-F11</f>
        <v/>
      </c>
      <c r="G12" s="86">
        <f>-G11</f>
        <v/>
      </c>
      <c r="H12" s="86">
        <f>-H11</f>
        <v/>
      </c>
      <c r="I12" s="86">
        <f>-I11</f>
        <v/>
      </c>
      <c r="J12" s="86">
        <f>-J11</f>
        <v/>
      </c>
    </row>
    <row r="13" ht="15" customHeight="1" s="52">
      <c r="B13" s="55" t="inlineStr">
        <is>
          <t>Pre-financing cash flow</t>
        </is>
      </c>
      <c r="C13" s="82">
        <f>C10+C12</f>
        <v/>
      </c>
      <c r="D13" s="82">
        <f>D10+D12</f>
        <v/>
      </c>
      <c r="E13" s="82">
        <f>E10+E12</f>
        <v/>
      </c>
      <c r="F13" s="82">
        <f>F10+F12</f>
        <v/>
      </c>
      <c r="G13" s="82">
        <f>G10+G12</f>
        <v/>
      </c>
      <c r="H13" s="82">
        <f>H10+H12</f>
        <v/>
      </c>
      <c r="I13" s="82">
        <f>I10+I12</f>
        <v/>
      </c>
      <c r="J13" s="82">
        <f>J10+J12</f>
        <v/>
      </c>
    </row>
    <row r="14" ht="15" customHeight="1" s="52">
      <c r="B14" s="65" t="inlineStr">
        <is>
          <t xml:space="preserve">  Beginning cash</t>
        </is>
      </c>
      <c r="C14" s="80">
        <f>Assumptions!$C$78</f>
        <v/>
      </c>
      <c r="D14" s="80">
        <f>C21</f>
        <v/>
      </c>
      <c r="E14" s="80">
        <f>D21</f>
        <v/>
      </c>
      <c r="F14" s="80">
        <f>E21</f>
        <v/>
      </c>
      <c r="G14" s="80">
        <f>F21</f>
        <v/>
      </c>
      <c r="H14" s="80">
        <f>G21</f>
        <v/>
      </c>
      <c r="I14" s="80">
        <f>H21</f>
        <v/>
      </c>
      <c r="J14" s="80">
        <f>I21</f>
        <v/>
      </c>
    </row>
    <row r="15" ht="15" customHeight="1" s="52">
      <c r="B15" s="65" t="inlineStr">
        <is>
          <t xml:space="preserve">  Cash avail. before revolver</t>
        </is>
      </c>
      <c r="C15" s="80">
        <f>C14+C13-C16-C17</f>
        <v/>
      </c>
      <c r="D15" s="80">
        <f>D14+D13-D16-D17</f>
        <v/>
      </c>
      <c r="E15" s="80">
        <f>E14+E13-E16-E17</f>
        <v/>
      </c>
      <c r="F15" s="80">
        <f>F14+F13-F16-F17</f>
        <v/>
      </c>
      <c r="G15" s="80">
        <f>G14+G13-G16-G17</f>
        <v/>
      </c>
      <c r="H15" s="80">
        <f>H14+H13-H16-H17</f>
        <v/>
      </c>
      <c r="I15" s="80">
        <f>I14+I13-I16-I17</f>
        <v/>
      </c>
      <c r="J15" s="80">
        <f>J14+J13-J16-J17</f>
        <v/>
      </c>
    </row>
    <row r="16" ht="15" customHeight="1" s="52">
      <c r="B16" s="65" t="inlineStr">
        <is>
          <t xml:space="preserve">  Dividends paid</t>
        </is>
      </c>
      <c r="C16" s="79">
        <f>'Income Statement'!C19</f>
        <v/>
      </c>
      <c r="D16" s="79">
        <f>'Income Statement'!D19</f>
        <v/>
      </c>
      <c r="E16" s="79">
        <f>'Income Statement'!E19</f>
        <v/>
      </c>
      <c r="F16" s="79">
        <f>'Income Statement'!F19</f>
        <v/>
      </c>
      <c r="G16" s="79">
        <f>'Income Statement'!G19</f>
        <v/>
      </c>
      <c r="H16" s="79">
        <f>'Income Statement'!H19</f>
        <v/>
      </c>
      <c r="I16" s="79">
        <f>'Income Statement'!I19</f>
        <v/>
      </c>
      <c r="J16" s="79">
        <f>'Income Statement'!J19</f>
        <v/>
      </c>
    </row>
    <row r="17" ht="15" customHeight="1" s="52">
      <c r="B17" s="65" t="inlineStr">
        <is>
          <t xml:space="preserve">  Term loan amortization</t>
        </is>
      </c>
      <c r="C17" s="79">
        <f>'Debt Schedule'!C14</f>
        <v/>
      </c>
      <c r="D17" s="79">
        <f>'Debt Schedule'!D14</f>
        <v/>
      </c>
      <c r="E17" s="79">
        <f>'Debt Schedule'!E14</f>
        <v/>
      </c>
      <c r="F17" s="79">
        <f>'Debt Schedule'!F14</f>
        <v/>
      </c>
      <c r="G17" s="79">
        <f>'Debt Schedule'!G14</f>
        <v/>
      </c>
      <c r="H17" s="79">
        <f>'Debt Schedule'!H14</f>
        <v/>
      </c>
      <c r="I17" s="79">
        <f>'Debt Schedule'!I14</f>
        <v/>
      </c>
      <c r="J17" s="79">
        <f>'Debt Schedule'!J14</f>
        <v/>
      </c>
    </row>
    <row r="18" ht="15" customHeight="1" s="52">
      <c r="B18" s="65" t="inlineStr">
        <is>
          <t xml:space="preserve">  Revolver draw / (repay)</t>
        </is>
      </c>
      <c r="C18" s="79">
        <f>'Debt Schedule'!C17</f>
        <v/>
      </c>
      <c r="D18" s="79">
        <f>'Debt Schedule'!D17</f>
        <v/>
      </c>
      <c r="E18" s="79">
        <f>'Debt Schedule'!E17</f>
        <v/>
      </c>
      <c r="F18" s="79">
        <f>'Debt Schedule'!F17</f>
        <v/>
      </c>
      <c r="G18" s="79">
        <f>'Debt Schedule'!G17</f>
        <v/>
      </c>
      <c r="H18" s="79">
        <f>'Debt Schedule'!H17</f>
        <v/>
      </c>
      <c r="I18" s="79">
        <f>'Debt Schedule'!I17</f>
        <v/>
      </c>
      <c r="J18" s="79">
        <f>'Debt Schedule'!J17</f>
        <v/>
      </c>
    </row>
    <row r="19" ht="15" customHeight="1" s="52">
      <c r="B19" s="55" t="inlineStr">
        <is>
          <t>Cash flow from financing</t>
        </is>
      </c>
      <c r="C19" s="82">
        <f>-C16-C17+C18</f>
        <v/>
      </c>
      <c r="D19" s="82">
        <f>-D16-D17+D18</f>
        <v/>
      </c>
      <c r="E19" s="82">
        <f>-E16-E17+E18</f>
        <v/>
      </c>
      <c r="F19" s="82">
        <f>-F16-F17+F18</f>
        <v/>
      </c>
      <c r="G19" s="82">
        <f>-G16-G17+G18</f>
        <v/>
      </c>
      <c r="H19" s="82">
        <f>-H16-H17+H18</f>
        <v/>
      </c>
      <c r="I19" s="82">
        <f>-I16-I17+I18</f>
        <v/>
      </c>
      <c r="J19" s="82">
        <f>-J16-J17+J18</f>
        <v/>
      </c>
    </row>
    <row r="20" ht="15" customHeight="1" s="52">
      <c r="B20" s="55" t="inlineStr">
        <is>
          <t>Net change in cash</t>
        </is>
      </c>
      <c r="C20" s="86">
        <f>C10+C12+C19</f>
        <v/>
      </c>
      <c r="D20" s="86">
        <f>D10+D12+D19</f>
        <v/>
      </c>
      <c r="E20" s="86">
        <f>E10+E12+E19</f>
        <v/>
      </c>
      <c r="F20" s="86">
        <f>F10+F12+F19</f>
        <v/>
      </c>
      <c r="G20" s="86">
        <f>G10+G12+G19</f>
        <v/>
      </c>
      <c r="H20" s="86">
        <f>H10+H12+H19</f>
        <v/>
      </c>
      <c r="I20" s="86">
        <f>I10+I12+I19</f>
        <v/>
      </c>
      <c r="J20" s="86">
        <f>J10+J12+J19</f>
        <v/>
      </c>
    </row>
    <row r="21" ht="15" customHeight="1" s="52">
      <c r="B21" s="55" t="inlineStr">
        <is>
          <t>Ending cash</t>
        </is>
      </c>
      <c r="C21" s="82">
        <f>C14+C20</f>
        <v/>
      </c>
      <c r="D21" s="82">
        <f>D14+D20</f>
        <v/>
      </c>
      <c r="E21" s="82">
        <f>E14+E20</f>
        <v/>
      </c>
      <c r="F21" s="82">
        <f>F14+F20</f>
        <v/>
      </c>
      <c r="G21" s="82">
        <f>G14+G20</f>
        <v/>
      </c>
      <c r="H21" s="82">
        <f>H14+H20</f>
        <v/>
      </c>
      <c r="I21" s="82">
        <f>I14+I20</f>
        <v/>
      </c>
      <c r="J21" s="82">
        <f>J14+J20</f>
        <v/>
      </c>
    </row>
    <row r="23" ht="15" customHeight="1" s="52">
      <c r="B23" s="55" t="inlineStr">
        <is>
          <t>CF TIE-OUT vs BS (=0)</t>
        </is>
      </c>
      <c r="C23" s="85">
        <f>C21-'Balance Sheet'!C8</f>
        <v/>
      </c>
      <c r="D23" s="85">
        <f>D21-'Balance Sheet'!D8</f>
        <v/>
      </c>
      <c r="E23" s="85">
        <f>E21-'Balance Sheet'!E8</f>
        <v/>
      </c>
      <c r="F23" s="85">
        <f>F21-'Balance Sheet'!F8</f>
        <v/>
      </c>
      <c r="G23" s="85">
        <f>G21-'Balance Sheet'!G8</f>
        <v/>
      </c>
      <c r="H23" s="85">
        <f>H21-'Balance Sheet'!H8</f>
        <v/>
      </c>
      <c r="I23" s="85">
        <f>I21-'Balance Sheet'!I8</f>
        <v/>
      </c>
      <c r="J23" s="85">
        <f>J21-'Balance Sheet'!J8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FAADC"/>
    <outlinePr summaryBelow="1" summaryRight="1"/>
    <pageSetUpPr fitToPage="0"/>
  </sheetPr>
  <dimension ref="B2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PP&amp;E Schedule</t>
        </is>
      </c>
    </row>
    <row r="3" ht="15" customHeight="1" s="52">
      <c r="B3" s="54" t="inlineStr">
        <is>
          <t>Capex roll-forward with straight-line depreciation on opening balance.</t>
        </is>
      </c>
    </row>
    <row r="5" ht="15" customHeight="1" s="52">
      <c r="B5" s="54" t="inlineStr">
        <is>
          <t>($ in millions)</t>
        </is>
      </c>
      <c r="C5" s="78">
        <f>Assumptions!C$5</f>
        <v/>
      </c>
      <c r="D5" s="78">
        <f>Assumptions!D$5</f>
        <v/>
      </c>
      <c r="E5" s="78">
        <f>Assumptions!E$5</f>
        <v/>
      </c>
      <c r="F5" s="78">
        <f>Assumptions!F$5</f>
        <v/>
      </c>
      <c r="G5" s="78">
        <f>Assumptions!G$5</f>
        <v/>
      </c>
      <c r="H5" s="78">
        <f>Assumptions!H$5</f>
        <v/>
      </c>
      <c r="I5" s="78">
        <f>Assumptions!I$5</f>
        <v/>
      </c>
      <c r="J5" s="78">
        <f>Assumptions!J$5</f>
        <v/>
      </c>
    </row>
    <row r="7" ht="15" customHeight="1" s="52">
      <c r="B7" s="65" t="inlineStr">
        <is>
          <t xml:space="preserve">  Opening net PP&amp;E</t>
        </is>
      </c>
      <c r="C7" s="80">
        <f>'Income Statement'!C7*Assumptions!$C$59*6</f>
        <v/>
      </c>
      <c r="D7" s="80">
        <f>C10</f>
        <v/>
      </c>
      <c r="E7" s="80">
        <f>D10</f>
        <v/>
      </c>
      <c r="F7" s="80">
        <f>E10</f>
        <v/>
      </c>
      <c r="G7" s="80">
        <f>F10</f>
        <v/>
      </c>
      <c r="H7" s="80">
        <f>G10</f>
        <v/>
      </c>
      <c r="I7" s="80">
        <f>H10</f>
        <v/>
      </c>
      <c r="J7" s="80">
        <f>I10</f>
        <v/>
      </c>
    </row>
    <row r="8" ht="15" customHeight="1" s="52">
      <c r="B8" s="65" t="inlineStr">
        <is>
          <t xml:space="preserve">  Capex</t>
        </is>
      </c>
      <c r="C8" s="80">
        <f>'Income Statement'!C7*Assumptions!$C$59</f>
        <v/>
      </c>
      <c r="D8" s="80">
        <f>'Income Statement'!D7*Assumptions!$D$59</f>
        <v/>
      </c>
      <c r="E8" s="80">
        <f>'Income Statement'!E7*Assumptions!$E$59</f>
        <v/>
      </c>
      <c r="F8" s="80">
        <f>'Income Statement'!F7*Assumptions!$F$59</f>
        <v/>
      </c>
      <c r="G8" s="80">
        <f>'Income Statement'!G7*Assumptions!$G$59</f>
        <v/>
      </c>
      <c r="H8" s="80">
        <f>'Income Statement'!H7*Assumptions!$H$59</f>
        <v/>
      </c>
      <c r="I8" s="80">
        <f>'Income Statement'!I7*Assumptions!$I$59</f>
        <v/>
      </c>
      <c r="J8" s="80">
        <f>'Income Statement'!J7*Assumptions!$J$59</f>
        <v/>
      </c>
    </row>
    <row r="9" ht="15" customHeight="1" s="52">
      <c r="B9" s="65" t="inlineStr">
        <is>
          <t xml:space="preserve">  Depreciation</t>
        </is>
      </c>
      <c r="C9" s="80">
        <f>C7/$C$11</f>
        <v/>
      </c>
      <c r="D9" s="80">
        <f>D7/$C$11</f>
        <v/>
      </c>
      <c r="E9" s="80">
        <f>E7/$C$11</f>
        <v/>
      </c>
      <c r="F9" s="80">
        <f>F7/$C$11</f>
        <v/>
      </c>
      <c r="G9" s="80">
        <f>G7/$C$11</f>
        <v/>
      </c>
      <c r="H9" s="80">
        <f>H7/$C$11</f>
        <v/>
      </c>
      <c r="I9" s="80">
        <f>I7/$C$11</f>
        <v/>
      </c>
      <c r="J9" s="80">
        <f>J7/$C$11</f>
        <v/>
      </c>
    </row>
    <row r="10" ht="15" customHeight="1" s="52">
      <c r="B10" s="55" t="inlineStr">
        <is>
          <t>Closing net PP&amp;E</t>
        </is>
      </c>
      <c r="C10" s="82">
        <f>C7+C8-C9</f>
        <v/>
      </c>
      <c r="D10" s="82">
        <f>D7+D8-D9</f>
        <v/>
      </c>
      <c r="E10" s="82">
        <f>E7+E8-E9</f>
        <v/>
      </c>
      <c r="F10" s="82">
        <f>F7+F8-F9</f>
        <v/>
      </c>
      <c r="G10" s="82">
        <f>G7+G8-G9</f>
        <v/>
      </c>
      <c r="H10" s="82">
        <f>H7+H8-H9</f>
        <v/>
      </c>
      <c r="I10" s="82">
        <f>I7+I8-I9</f>
        <v/>
      </c>
      <c r="J10" s="82">
        <f>J7+J8-J9</f>
        <v/>
      </c>
    </row>
    <row r="11" ht="15" customHeight="1" s="52">
      <c r="B11" s="87" t="inlineStr">
        <is>
          <t xml:space="preserve">  Useful life (years, input)</t>
        </is>
      </c>
      <c r="C11" s="60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FAADC"/>
    <outlinePr summaryBelow="1" summaryRight="1"/>
    <pageSetUpPr fitToPage="0"/>
  </sheetPr>
  <dimension ref="B2:J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Debt Schedule</t>
        </is>
      </c>
    </row>
    <row r="3" ht="15" customHeight="1" s="52">
      <c r="B3" s="54" t="inlineStr">
        <is>
          <t>Term loan with scheduled amort + revolver. Interest on avg balance. Circular toggle on Assumptions.</t>
        </is>
      </c>
    </row>
    <row r="5" ht="15" customHeight="1" s="52">
      <c r="B5" s="58" t="inlineStr">
        <is>
          <t>DEBT INPUTS (blue)</t>
        </is>
      </c>
      <c r="C5" s="59" t="n"/>
      <c r="D5" s="59" t="n"/>
      <c r="E5" s="59" t="n"/>
      <c r="F5" s="59" t="n"/>
      <c r="G5" s="59" t="n"/>
      <c r="H5" s="59" t="n"/>
      <c r="I5" s="59" t="n"/>
      <c r="J5" s="59" t="n"/>
    </row>
    <row r="6" ht="15" customHeight="1" s="52">
      <c r="B6" s="65" t="inlineStr">
        <is>
          <t xml:space="preserve">  Term loan opening balance</t>
        </is>
      </c>
      <c r="C6" s="77" t="n">
        <v>5000</v>
      </c>
    </row>
    <row r="7" ht="15" customHeight="1" s="52">
      <c r="B7" s="65" t="inlineStr">
        <is>
          <t xml:space="preserve">  Mandatory amortization / yr</t>
        </is>
      </c>
      <c r="C7" s="77" t="n">
        <v>250</v>
      </c>
    </row>
    <row r="8" ht="15" customHeight="1" s="52">
      <c r="B8" s="65" t="inlineStr">
        <is>
          <t xml:space="preserve">  Term loan interest rate</t>
        </is>
      </c>
      <c r="C8" s="63" t="n">
        <v>0.055</v>
      </c>
    </row>
    <row r="9" ht="15" customHeight="1" s="52">
      <c r="B9" s="65" t="inlineStr">
        <is>
          <t xml:space="preserve">  Revolver interest rate</t>
        </is>
      </c>
      <c r="C9" s="63" t="n">
        <v>0.065</v>
      </c>
    </row>
    <row r="10" ht="15" customHeight="1" s="52">
      <c r="B10" s="65" t="inlineStr">
        <is>
          <t xml:space="preserve">  Minimum cash balance</t>
        </is>
      </c>
      <c r="C10" s="77" t="n">
        <v>1000</v>
      </c>
    </row>
    <row r="12" ht="15" customHeight="1" s="52">
      <c r="B12" s="58" t="n"/>
      <c r="C12" s="88">
        <f>Assumptions!C$5</f>
        <v/>
      </c>
      <c r="D12" s="88">
        <f>Assumptions!D$5</f>
        <v/>
      </c>
      <c r="E12" s="88">
        <f>Assumptions!E$5</f>
        <v/>
      </c>
      <c r="F12" s="88">
        <f>Assumptions!F$5</f>
        <v/>
      </c>
      <c r="G12" s="88">
        <f>Assumptions!G$5</f>
        <v/>
      </c>
      <c r="H12" s="88">
        <f>Assumptions!H$5</f>
        <v/>
      </c>
      <c r="I12" s="88">
        <f>Assumptions!I$5</f>
        <v/>
      </c>
      <c r="J12" s="88">
        <f>Assumptions!J$5</f>
        <v/>
      </c>
    </row>
    <row r="13" ht="15" customHeight="1" s="52">
      <c r="B13" s="65" t="inlineStr">
        <is>
          <t xml:space="preserve">  Term loan — opening</t>
        </is>
      </c>
      <c r="C13" s="80">
        <f>$C$6</f>
        <v/>
      </c>
      <c r="D13" s="80">
        <f>C15</f>
        <v/>
      </c>
      <c r="E13" s="80">
        <f>D15</f>
        <v/>
      </c>
      <c r="F13" s="80">
        <f>E15</f>
        <v/>
      </c>
      <c r="G13" s="80">
        <f>F15</f>
        <v/>
      </c>
      <c r="H13" s="80">
        <f>G15</f>
        <v/>
      </c>
      <c r="I13" s="80">
        <f>H15</f>
        <v/>
      </c>
      <c r="J13" s="80">
        <f>I15</f>
        <v/>
      </c>
    </row>
    <row r="14" ht="15" customHeight="1" s="52">
      <c r="B14" s="65" t="inlineStr">
        <is>
          <t xml:space="preserve">  Term loan — amortization</t>
        </is>
      </c>
      <c r="C14" s="80">
        <f>MIN($C$7,C13)</f>
        <v/>
      </c>
      <c r="D14" s="80">
        <f>MIN($C$7,D13)</f>
        <v/>
      </c>
      <c r="E14" s="80">
        <f>MIN($C$7,E13)</f>
        <v/>
      </c>
      <c r="F14" s="80">
        <f>MIN($C$7,F13)</f>
        <v/>
      </c>
      <c r="G14" s="80">
        <f>MIN($C$7,G13)</f>
        <v/>
      </c>
      <c r="H14" s="80">
        <f>MIN($C$7,H13)</f>
        <v/>
      </c>
      <c r="I14" s="80">
        <f>MIN($C$7,I13)</f>
        <v/>
      </c>
      <c r="J14" s="80">
        <f>MIN($C$7,J13)</f>
        <v/>
      </c>
    </row>
    <row r="15" ht="15" customHeight="1" s="52">
      <c r="B15" s="55" t="inlineStr">
        <is>
          <t>Term loan — closing</t>
        </is>
      </c>
      <c r="C15" s="82">
        <f>C13-C14</f>
        <v/>
      </c>
      <c r="D15" s="82">
        <f>D13-D14</f>
        <v/>
      </c>
      <c r="E15" s="82">
        <f>E13-E14</f>
        <v/>
      </c>
      <c r="F15" s="82">
        <f>F13-F14</f>
        <v/>
      </c>
      <c r="G15" s="82">
        <f>G13-G14</f>
        <v/>
      </c>
      <c r="H15" s="82">
        <f>H13-H14</f>
        <v/>
      </c>
      <c r="I15" s="82">
        <f>I13-I14</f>
        <v/>
      </c>
      <c r="J15" s="82">
        <f>J13-J14</f>
        <v/>
      </c>
    </row>
    <row r="16" ht="15" customHeight="1" s="52">
      <c r="B16" s="65" t="inlineStr">
        <is>
          <t xml:space="preserve">  Revolver — opening</t>
        </is>
      </c>
      <c r="C16" s="80" t="n">
        <v>0</v>
      </c>
      <c r="D16" s="80">
        <f>C18</f>
        <v/>
      </c>
      <c r="E16" s="80">
        <f>D18</f>
        <v/>
      </c>
      <c r="F16" s="80">
        <f>E18</f>
        <v/>
      </c>
      <c r="G16" s="80">
        <f>F18</f>
        <v/>
      </c>
      <c r="H16" s="80">
        <f>G18</f>
        <v/>
      </c>
      <c r="I16" s="80">
        <f>H18</f>
        <v/>
      </c>
      <c r="J16" s="80">
        <f>I18</f>
        <v/>
      </c>
    </row>
    <row r="17" ht="15" customHeight="1" s="52">
      <c r="B17" s="65" t="inlineStr">
        <is>
          <t xml:space="preserve">  Revolver — draw / (repay)</t>
        </is>
      </c>
      <c r="C17" s="80">
        <f>MAX(0,$C$10-C22)-MIN(C16,MAX(0,C22-$C$10))</f>
        <v/>
      </c>
      <c r="D17" s="80">
        <f>MAX(0,$C$10-D22)-MIN(D16,MAX(0,D22-$C$10))</f>
        <v/>
      </c>
      <c r="E17" s="80">
        <f>MAX(0,$C$10-E22)-MIN(E16,MAX(0,E22-$C$10))</f>
        <v/>
      </c>
      <c r="F17" s="80">
        <f>MAX(0,$C$10-F22)-MIN(F16,MAX(0,F22-$C$10))</f>
        <v/>
      </c>
      <c r="G17" s="80">
        <f>MAX(0,$C$10-G22)-MIN(G16,MAX(0,G22-$C$10))</f>
        <v/>
      </c>
      <c r="H17" s="80">
        <f>MAX(0,$C$10-H22)-MIN(H16,MAX(0,H22-$C$10))</f>
        <v/>
      </c>
      <c r="I17" s="80">
        <f>MAX(0,$C$10-I22)-MIN(I16,MAX(0,I22-$C$10))</f>
        <v/>
      </c>
      <c r="J17" s="80">
        <f>MAX(0,$C$10-J22)-MIN(J16,MAX(0,J22-$C$10))</f>
        <v/>
      </c>
    </row>
    <row r="18" ht="15" customHeight="1" s="52">
      <c r="B18" s="55" t="inlineStr">
        <is>
          <t>Revolver — closing</t>
        </is>
      </c>
      <c r="C18" s="82">
        <f>C16+C17</f>
        <v/>
      </c>
      <c r="D18" s="82">
        <f>D16+D17</f>
        <v/>
      </c>
      <c r="E18" s="82">
        <f>E16+E17</f>
        <v/>
      </c>
      <c r="F18" s="82">
        <f>F16+F17</f>
        <v/>
      </c>
      <c r="G18" s="82">
        <f>G16+G17</f>
        <v/>
      </c>
      <c r="H18" s="82">
        <f>H16+H17</f>
        <v/>
      </c>
      <c r="I18" s="82">
        <f>I16+I17</f>
        <v/>
      </c>
      <c r="J18" s="82">
        <f>J16+J17</f>
        <v/>
      </c>
    </row>
    <row r="19" ht="15" customHeight="1" s="52">
      <c r="B19" s="55" t="inlineStr">
        <is>
          <t>Total debt (closing)</t>
        </is>
      </c>
      <c r="C19" s="82">
        <f>C15+C18</f>
        <v/>
      </c>
      <c r="D19" s="82">
        <f>D15+D18</f>
        <v/>
      </c>
      <c r="E19" s="82">
        <f>E15+E18</f>
        <v/>
      </c>
      <c r="F19" s="82">
        <f>F15+F18</f>
        <v/>
      </c>
      <c r="G19" s="82">
        <f>G15+G18</f>
        <v/>
      </c>
      <c r="H19" s="82">
        <f>H15+H18</f>
        <v/>
      </c>
      <c r="I19" s="82">
        <f>I15+I18</f>
        <v/>
      </c>
      <c r="J19" s="82">
        <f>J15+J18</f>
        <v/>
      </c>
    </row>
    <row r="20" ht="15" customHeight="1" s="52">
      <c r="B20" s="65" t="inlineStr">
        <is>
          <t xml:space="preserve">  Average total debt</t>
        </is>
      </c>
      <c r="C20" s="80">
        <f>IF(Assumptions!$C$73=1,(C13+C15)/2+(C16+C18)/2,C13+C16)</f>
        <v/>
      </c>
      <c r="D20" s="80">
        <f>IF(Assumptions!$C$73=1,(D13+D15)/2+(D16+D18)/2,D13+D16)</f>
        <v/>
      </c>
      <c r="E20" s="80">
        <f>IF(Assumptions!$C$73=1,(E13+E15)/2+(E16+E18)/2,E13+E16)</f>
        <v/>
      </c>
      <c r="F20" s="80">
        <f>IF(Assumptions!$C$73=1,(F13+F15)/2+(F16+F18)/2,F13+F16)</f>
        <v/>
      </c>
      <c r="G20" s="80">
        <f>IF(Assumptions!$C$73=1,(G13+G15)/2+(G16+G18)/2,G13+G16)</f>
        <v/>
      </c>
      <c r="H20" s="80">
        <f>IF(Assumptions!$C$73=1,(H13+H15)/2+(H16+H18)/2,H13+H16)</f>
        <v/>
      </c>
      <c r="I20" s="80">
        <f>IF(Assumptions!$C$73=1,(I13+I15)/2+(I16+I18)/2,I13+I16)</f>
        <v/>
      </c>
      <c r="J20" s="80">
        <f>IF(Assumptions!$C$73=1,(J13+J15)/2+(J16+J18)/2,J13+J16)</f>
        <v/>
      </c>
    </row>
    <row r="21" ht="15" customHeight="1" s="52">
      <c r="B21" s="55" t="inlineStr">
        <is>
          <t>Interest expense</t>
        </is>
      </c>
      <c r="C21" s="89">
        <f>IF(Assumptions!$C$73=1,$C$8*(C13+C15)/2+$C$9*(C16+C18)/2,$C$8*C13+$C$9*C16)</f>
        <v/>
      </c>
      <c r="D21" s="89">
        <f>IF(Assumptions!$C$73=1,$C$8*(D13+D15)/2+$C$9*(D16+D18)/2,$C$8*D13+$C$9*D16)</f>
        <v/>
      </c>
      <c r="E21" s="89">
        <f>IF(Assumptions!$C$73=1,$C$8*(E13+E15)/2+$C$9*(E16+E18)/2,$C$8*E13+$C$9*E16)</f>
        <v/>
      </c>
      <c r="F21" s="89">
        <f>IF(Assumptions!$C$73=1,$C$8*(F13+F15)/2+$C$9*(F16+F18)/2,$C$8*F13+$C$9*F16)</f>
        <v/>
      </c>
      <c r="G21" s="89">
        <f>IF(Assumptions!$C$73=1,$C$8*(G13+G15)/2+$C$9*(G16+G18)/2,$C$8*G13+$C$9*G16)</f>
        <v/>
      </c>
      <c r="H21" s="89">
        <f>IF(Assumptions!$C$73=1,$C$8*(H13+H15)/2+$C$9*(H16+H18)/2,$C$8*H13+$C$9*H16)</f>
        <v/>
      </c>
      <c r="I21" s="89">
        <f>IF(Assumptions!$C$73=1,$C$8*(I13+I15)/2+$C$9*(I16+I18)/2,$C$8*I13+$C$9*I16)</f>
        <v/>
      </c>
      <c r="J21" s="89">
        <f>IF(Assumptions!$C$73=1,$C$8*(J13+J15)/2+$C$9*(J16+J18)/2,$C$8*J13+$C$9*J16)</f>
        <v/>
      </c>
    </row>
    <row r="22" ht="15" customHeight="1" s="52">
      <c r="B22" s="65" t="inlineStr">
        <is>
          <t xml:space="preserve">  Cash avail. for debt service (pre-revolver)</t>
        </is>
      </c>
      <c r="C22" s="79">
        <f>'Cash Flow'!C15</f>
        <v/>
      </c>
      <c r="D22" s="79">
        <f>'Cash Flow'!D15</f>
        <v/>
      </c>
      <c r="E22" s="79">
        <f>'Cash Flow'!E15</f>
        <v/>
      </c>
      <c r="F22" s="79">
        <f>'Cash Flow'!F15</f>
        <v/>
      </c>
      <c r="G22" s="79">
        <f>'Cash Flow'!G15</f>
        <v/>
      </c>
      <c r="H22" s="79">
        <f>'Cash Flow'!H15</f>
        <v/>
      </c>
      <c r="I22" s="79">
        <f>'Cash Flow'!I15</f>
        <v/>
      </c>
      <c r="J22" s="79">
        <f>'Cash Flow'!J15</f>
        <v/>
      </c>
    </row>
    <row r="24" ht="15" customHeight="1" s="52">
      <c r="B24" s="58" t="inlineStr">
        <is>
          <t>CREDIT METRICS</t>
        </is>
      </c>
      <c r="C24" s="59" t="n"/>
      <c r="D24" s="59" t="n"/>
      <c r="E24" s="59" t="n"/>
      <c r="F24" s="59" t="n"/>
      <c r="G24" s="59" t="n"/>
      <c r="H24" s="59" t="n"/>
      <c r="I24" s="59" t="n"/>
      <c r="J24" s="59" t="n"/>
    </row>
    <row r="25" ht="15" customHeight="1" s="52">
      <c r="B25" s="65" t="inlineStr">
        <is>
          <t xml:space="preserve">  Net debt / EBITDA</t>
        </is>
      </c>
      <c r="C25" s="90">
        <f>(C19-'Cash Flow'!C21)/'Income Statement'!C12</f>
        <v/>
      </c>
      <c r="D25" s="90">
        <f>(D19-'Cash Flow'!D21)/'Income Statement'!D12</f>
        <v/>
      </c>
      <c r="E25" s="90">
        <f>(E19-'Cash Flow'!E21)/'Income Statement'!E12</f>
        <v/>
      </c>
      <c r="F25" s="90">
        <f>(F19-'Cash Flow'!F21)/'Income Statement'!F12</f>
        <v/>
      </c>
      <c r="G25" s="90">
        <f>(G19-'Cash Flow'!G21)/'Income Statement'!G12</f>
        <v/>
      </c>
      <c r="H25" s="90">
        <f>(H19-'Cash Flow'!H21)/'Income Statement'!H12</f>
        <v/>
      </c>
      <c r="I25" s="90">
        <f>(I19-'Cash Flow'!I21)/'Income Statement'!I12</f>
        <v/>
      </c>
      <c r="J25" s="90">
        <f>(J19-'Cash Flow'!J21)/'Income Statement'!J12</f>
        <v/>
      </c>
    </row>
    <row r="26" ht="15" customHeight="1" s="52">
      <c r="B26" s="65" t="inlineStr">
        <is>
          <t xml:space="preserve">  EBIT interest coverage</t>
        </is>
      </c>
      <c r="C26" s="90">
        <f>'Income Statement'!C14/C21</f>
        <v/>
      </c>
      <c r="D26" s="90">
        <f>'Income Statement'!D14/D21</f>
        <v/>
      </c>
      <c r="E26" s="90">
        <f>'Income Statement'!E14/E21</f>
        <v/>
      </c>
      <c r="F26" s="90">
        <f>'Income Statement'!F14/F21</f>
        <v/>
      </c>
      <c r="G26" s="90">
        <f>'Income Statement'!G14/G21</f>
        <v/>
      </c>
      <c r="H26" s="90">
        <f>'Income Statement'!H14/H21</f>
        <v/>
      </c>
      <c r="I26" s="90">
        <f>'Income Statement'!I14/I21</f>
        <v/>
      </c>
      <c r="J26" s="90">
        <f>'Income Statement'!J14/J21</f>
        <v/>
      </c>
    </row>
    <row r="27" ht="15" customHeight="1" s="52">
      <c r="B27" s="65" t="inlineStr">
        <is>
          <t xml:space="preserve">  Debt service coverage (EBITDA/(int+amort))</t>
        </is>
      </c>
      <c r="C27" s="90">
        <f>'Income Statement'!C12/(C21+C14)</f>
        <v/>
      </c>
      <c r="D27" s="90">
        <f>'Income Statement'!D12/(D21+D14)</f>
        <v/>
      </c>
      <c r="E27" s="90">
        <f>'Income Statement'!E12/(E21+E14)</f>
        <v/>
      </c>
      <c r="F27" s="90">
        <f>'Income Statement'!F12/(F21+F14)</f>
        <v/>
      </c>
      <c r="G27" s="90">
        <f>'Income Statement'!G12/(G21+G14)</f>
        <v/>
      </c>
      <c r="H27" s="90">
        <f>'Income Statement'!H12/(H21+H14)</f>
        <v/>
      </c>
      <c r="I27" s="90">
        <f>'Income Statement'!I12/(I21+I14)</f>
        <v/>
      </c>
      <c r="J27" s="90">
        <f>'Income Statement'!J12/(J21+J14)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FAADC"/>
    <outlinePr summaryBelow="1" summaryRight="1"/>
    <pageSetUpPr fitToPage="0"/>
  </sheetPr>
  <dimension ref="B2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Working Capital Schedule</t>
        </is>
      </c>
    </row>
    <row r="3" ht="15" customHeight="1" s="52">
      <c r="B3" s="54" t="inlineStr">
        <is>
          <t>AR/Inv/AP from days metrics → net working capital feeds balance sheet.</t>
        </is>
      </c>
    </row>
    <row r="5" ht="15" customHeight="1" s="52">
      <c r="B5" s="54" t="inlineStr">
        <is>
          <t>($ in millions)</t>
        </is>
      </c>
      <c r="C5" s="78">
        <f>Assumptions!C$5</f>
        <v/>
      </c>
      <c r="D5" s="78">
        <f>Assumptions!D$5</f>
        <v/>
      </c>
      <c r="E5" s="78">
        <f>Assumptions!E$5</f>
        <v/>
      </c>
      <c r="F5" s="78">
        <f>Assumptions!F$5</f>
        <v/>
      </c>
      <c r="G5" s="78">
        <f>Assumptions!G$5</f>
        <v/>
      </c>
      <c r="H5" s="78">
        <f>Assumptions!H$5</f>
        <v/>
      </c>
      <c r="I5" s="78">
        <f>Assumptions!I$5</f>
        <v/>
      </c>
      <c r="J5" s="78">
        <f>Assumptions!J$5</f>
        <v/>
      </c>
    </row>
    <row r="7" ht="15" customHeight="1" s="52">
      <c r="B7" s="65" t="inlineStr">
        <is>
          <t xml:space="preserve">  Accounts receivable (DSO)</t>
        </is>
      </c>
      <c r="C7" s="80">
        <f>Assumptions!$C$51/365*'Income Statement'!C7</f>
        <v/>
      </c>
      <c r="D7" s="80">
        <f>Assumptions!$D$51/365*'Income Statement'!D7</f>
        <v/>
      </c>
      <c r="E7" s="80">
        <f>Assumptions!$E$51/365*'Income Statement'!E7</f>
        <v/>
      </c>
      <c r="F7" s="80">
        <f>Assumptions!$F$51/365*'Income Statement'!F7</f>
        <v/>
      </c>
      <c r="G7" s="80">
        <f>Assumptions!$G$51/365*'Income Statement'!G7</f>
        <v/>
      </c>
      <c r="H7" s="80">
        <f>Assumptions!$H$51/365*'Income Statement'!H7</f>
        <v/>
      </c>
      <c r="I7" s="80">
        <f>Assumptions!$I$51/365*'Income Statement'!I7</f>
        <v/>
      </c>
      <c r="J7" s="80">
        <f>Assumptions!$J$51/365*'Income Statement'!J7</f>
        <v/>
      </c>
    </row>
    <row r="8" ht="15" customHeight="1" s="52">
      <c r="B8" s="65" t="inlineStr">
        <is>
          <t xml:space="preserve">  Inventory (DIO)</t>
        </is>
      </c>
      <c r="C8" s="80">
        <f>Assumptions!$C$52/365*'Income Statement'!C8</f>
        <v/>
      </c>
      <c r="D8" s="80">
        <f>Assumptions!$D$52/365*'Income Statement'!D8</f>
        <v/>
      </c>
      <c r="E8" s="80">
        <f>Assumptions!$E$52/365*'Income Statement'!E8</f>
        <v/>
      </c>
      <c r="F8" s="80">
        <f>Assumptions!$F$52/365*'Income Statement'!F8</f>
        <v/>
      </c>
      <c r="G8" s="80">
        <f>Assumptions!$G$52/365*'Income Statement'!G8</f>
        <v/>
      </c>
      <c r="H8" s="80">
        <f>Assumptions!$H$52/365*'Income Statement'!H8</f>
        <v/>
      </c>
      <c r="I8" s="80">
        <f>Assumptions!$I$52/365*'Income Statement'!I8</f>
        <v/>
      </c>
      <c r="J8" s="80">
        <f>Assumptions!$J$52/365*'Income Statement'!J8</f>
        <v/>
      </c>
    </row>
    <row r="9" ht="15" customHeight="1" s="52">
      <c r="B9" s="65" t="inlineStr">
        <is>
          <t xml:space="preserve">  Accounts payable (DPO)</t>
        </is>
      </c>
      <c r="C9" s="80">
        <f>Assumptions!$C$53/365*'Income Statement'!C8</f>
        <v/>
      </c>
      <c r="D9" s="80">
        <f>Assumptions!$D$53/365*'Income Statement'!D8</f>
        <v/>
      </c>
      <c r="E9" s="80">
        <f>Assumptions!$E$53/365*'Income Statement'!E8</f>
        <v/>
      </c>
      <c r="F9" s="80">
        <f>Assumptions!$F$53/365*'Income Statement'!F8</f>
        <v/>
      </c>
      <c r="G9" s="80">
        <f>Assumptions!$G$53/365*'Income Statement'!G8</f>
        <v/>
      </c>
      <c r="H9" s="80">
        <f>Assumptions!$H$53/365*'Income Statement'!H8</f>
        <v/>
      </c>
      <c r="I9" s="80">
        <f>Assumptions!$I$53/365*'Income Statement'!I8</f>
        <v/>
      </c>
      <c r="J9" s="80">
        <f>Assumptions!$J$53/365*'Income Statement'!J8</f>
        <v/>
      </c>
    </row>
    <row r="10" ht="15" customHeight="1" s="52">
      <c r="B10" s="55" t="inlineStr">
        <is>
          <t>Net working capital</t>
        </is>
      </c>
      <c r="C10" s="82">
        <f>C7+C8-C9</f>
        <v/>
      </c>
      <c r="D10" s="82">
        <f>D7+D8-D9</f>
        <v/>
      </c>
      <c r="E10" s="82">
        <f>E7+E8-E9</f>
        <v/>
      </c>
      <c r="F10" s="82">
        <f>F7+F8-F9</f>
        <v/>
      </c>
      <c r="G10" s="82">
        <f>G7+G8-G9</f>
        <v/>
      </c>
      <c r="H10" s="82">
        <f>H7+H8-H9</f>
        <v/>
      </c>
      <c r="I10" s="82">
        <f>I7+I8-I9</f>
        <v/>
      </c>
      <c r="J10" s="82">
        <f>J7+J8-J9</f>
        <v/>
      </c>
    </row>
    <row r="11" ht="15" customHeight="1" s="52">
      <c r="B11" s="65" t="inlineStr">
        <is>
          <t>Change in NWC (use of cash)</t>
        </is>
      </c>
      <c r="C11" s="80" t="inlineStr">
        <is>
          <t>0</t>
        </is>
      </c>
      <c r="D11" s="80">
        <f>D10-C10</f>
        <v/>
      </c>
      <c r="E11" s="80">
        <f>E10-D10</f>
        <v/>
      </c>
      <c r="F11" s="80">
        <f>F10-E10</f>
        <v/>
      </c>
      <c r="G11" s="80">
        <f>G10-F10</f>
        <v/>
      </c>
      <c r="H11" s="80">
        <f>H10-G10</f>
        <v/>
      </c>
      <c r="I11" s="80">
        <f>I10-H10</f>
        <v/>
      </c>
      <c r="J11" s="80">
        <f>J10-I10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B2:J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0" customWidth="1" style="51" min="2" max="2"/>
    <col width="13" customWidth="1" style="51" min="3" max="10"/>
  </cols>
  <sheetData>
    <row r="2" ht="17.25" customHeight="1" s="52">
      <c r="B2" s="53" t="inlineStr">
        <is>
          <t>DCF Valuation — FCFF</t>
        </is>
      </c>
    </row>
    <row r="3" ht="15" customHeight="1" s="52">
      <c r="B3" s="54" t="inlineStr">
        <is>
          <t>Scenario-aware WACC, beta, g, exit multiple. TV = avg(Gordon, exit).</t>
        </is>
      </c>
    </row>
    <row r="5" ht="15" customHeight="1" s="52">
      <c r="B5" s="58" t="inlineStr">
        <is>
          <t>WACC (active scenario)</t>
        </is>
      </c>
      <c r="C5" s="59" t="n"/>
      <c r="D5" s="59" t="n"/>
      <c r="E5" s="59" t="n"/>
      <c r="F5" s="59" t="n"/>
      <c r="G5" s="59" t="n"/>
      <c r="H5" s="59" t="n"/>
      <c r="I5" s="59" t="n"/>
      <c r="J5" s="59" t="n"/>
    </row>
    <row r="6" ht="15" customHeight="1" s="52">
      <c r="B6" s="65" t="inlineStr">
        <is>
          <t xml:space="preserve">  Cost of equity (CAPM)</t>
        </is>
      </c>
      <c r="C6" s="64">
        <f>Assumptions!$C$69+Assumptions!$F$65*Assumptions!$F$64</f>
        <v/>
      </c>
    </row>
    <row r="7" ht="15" customHeight="1" s="52">
      <c r="B7" s="65" t="inlineStr">
        <is>
          <t xml:space="preserve">  After-tax cost of debt</t>
        </is>
      </c>
      <c r="C7" s="64">
        <f>Assumptions!$C$70*(1-Assumptions!$F$42)</f>
        <v/>
      </c>
    </row>
    <row r="8" ht="15" customHeight="1" s="52">
      <c r="B8" s="65" t="inlineStr">
        <is>
          <t xml:space="preserve">  Equity weight</t>
        </is>
      </c>
      <c r="C8" s="64">
        <f>1-C9</f>
        <v/>
      </c>
    </row>
    <row r="9" ht="15" customHeight="1" s="52">
      <c r="B9" s="65" t="inlineStr">
        <is>
          <t xml:space="preserve">  Debt weight</t>
        </is>
      </c>
      <c r="C9" s="64">
        <f>Assumptions!$C$71</f>
        <v/>
      </c>
    </row>
    <row r="10" ht="15" customHeight="1" s="52">
      <c r="B10" s="65" t="inlineStr">
        <is>
          <t xml:space="preserve">  WACC</t>
        </is>
      </c>
      <c r="C10" s="91">
        <f>(1-Assumptions!$C$71)*(Assumptions!$C$69+Assumptions!$F$65*Assumptions!$F$64)+Assumptions!$C$71*(Assumptions!$C$70*(1-Assumptions!$F$42))</f>
        <v/>
      </c>
    </row>
    <row r="12" ht="15" customHeight="1" s="52">
      <c r="B12" s="58" t="inlineStr">
        <is>
          <t>UNLEVERED FREE CASH FLOW (forecast years)</t>
        </is>
      </c>
      <c r="C12" s="59" t="n"/>
      <c r="D12" s="59" t="n"/>
      <c r="E12" s="59" t="n"/>
      <c r="F12" s="59" t="n"/>
      <c r="G12" s="59" t="n"/>
      <c r="H12" s="59" t="n"/>
      <c r="I12" s="59" t="n"/>
      <c r="J12" s="59" t="n"/>
    </row>
    <row r="13" ht="15" customHeight="1" s="52">
      <c r="B13" s="65" t="inlineStr">
        <is>
          <t xml:space="preserve">  Year</t>
        </is>
      </c>
      <c r="C13" s="92">
        <f>Assumptions!F5</f>
        <v/>
      </c>
      <c r="D13" s="92">
        <f>Assumptions!G5</f>
        <v/>
      </c>
      <c r="E13" s="92">
        <f>Assumptions!H5</f>
        <v/>
      </c>
      <c r="F13" s="92">
        <f>Assumptions!I5</f>
        <v/>
      </c>
      <c r="G13" s="92">
        <f>Assumptions!J5</f>
        <v/>
      </c>
    </row>
    <row r="14" ht="15" customHeight="1" s="52">
      <c r="B14" s="65" t="inlineStr">
        <is>
          <t xml:space="preserve">  EBIT</t>
        </is>
      </c>
      <c r="C14" s="79">
        <f>'Income Statement'!F14</f>
        <v/>
      </c>
      <c r="D14" s="79">
        <f>'Income Statement'!G14</f>
        <v/>
      </c>
      <c r="E14" s="79">
        <f>'Income Statement'!H14</f>
        <v/>
      </c>
      <c r="F14" s="79">
        <f>'Income Statement'!I14</f>
        <v/>
      </c>
      <c r="G14" s="79">
        <f>'Income Statement'!J14</f>
        <v/>
      </c>
    </row>
    <row r="15" ht="15" customHeight="1" s="52">
      <c r="B15" s="65" t="inlineStr">
        <is>
          <t xml:space="preserve">  Taxes on EBIT</t>
        </is>
      </c>
      <c r="C15" s="80">
        <f>C14*Assumptions!$F$42</f>
        <v/>
      </c>
      <c r="D15" s="80">
        <f>D14*Assumptions!$G$42</f>
        <v/>
      </c>
      <c r="E15" s="80">
        <f>E14*Assumptions!$H$42</f>
        <v/>
      </c>
      <c r="F15" s="80">
        <f>F14*Assumptions!$I$42</f>
        <v/>
      </c>
      <c r="G15" s="80">
        <f>G14*Assumptions!$J$42</f>
        <v/>
      </c>
    </row>
    <row r="16" ht="15" customHeight="1" s="52">
      <c r="B16" s="65" t="inlineStr">
        <is>
          <t xml:space="preserve">  NOPAT</t>
        </is>
      </c>
      <c r="C16" s="86">
        <f>C14-C15</f>
        <v/>
      </c>
      <c r="D16" s="86">
        <f>D14-D15</f>
        <v/>
      </c>
      <c r="E16" s="86">
        <f>E14-E15</f>
        <v/>
      </c>
      <c r="F16" s="86">
        <f>F14-F15</f>
        <v/>
      </c>
      <c r="G16" s="86">
        <f>G14-G15</f>
        <v/>
      </c>
    </row>
    <row r="17" ht="15" customHeight="1" s="52">
      <c r="B17" s="65" t="inlineStr">
        <is>
          <t xml:space="preserve">  Add: D&amp;A</t>
        </is>
      </c>
      <c r="C17" s="79">
        <f>'Income Statement'!F13</f>
        <v/>
      </c>
      <c r="D17" s="79">
        <f>'Income Statement'!G13</f>
        <v/>
      </c>
      <c r="E17" s="79">
        <f>'Income Statement'!H13</f>
        <v/>
      </c>
      <c r="F17" s="79">
        <f>'Income Statement'!I13</f>
        <v/>
      </c>
      <c r="G17" s="79">
        <f>'Income Statement'!J13</f>
        <v/>
      </c>
    </row>
    <row r="18" ht="15" customHeight="1" s="52">
      <c r="B18" s="65" t="inlineStr">
        <is>
          <t xml:space="preserve">  Less: capex</t>
        </is>
      </c>
      <c r="C18" s="79">
        <f>'PP&amp;E Schedule'!F8</f>
        <v/>
      </c>
      <c r="D18" s="79">
        <f>'PP&amp;E Schedule'!G8</f>
        <v/>
      </c>
      <c r="E18" s="79">
        <f>'PP&amp;E Schedule'!H8</f>
        <v/>
      </c>
      <c r="F18" s="79">
        <f>'PP&amp;E Schedule'!I8</f>
        <v/>
      </c>
      <c r="G18" s="79">
        <f>'PP&amp;E Schedule'!J8</f>
        <v/>
      </c>
    </row>
    <row r="19" ht="15" customHeight="1" s="52">
      <c r="B19" s="65" t="inlineStr">
        <is>
          <t xml:space="preserve">  Less: ΔNWC</t>
        </is>
      </c>
      <c r="C19" s="79">
        <f>'WC Schedule'!F11</f>
        <v/>
      </c>
      <c r="D19" s="79">
        <f>'WC Schedule'!G11</f>
        <v/>
      </c>
      <c r="E19" s="79">
        <f>'WC Schedule'!H11</f>
        <v/>
      </c>
      <c r="F19" s="79">
        <f>'WC Schedule'!I11</f>
        <v/>
      </c>
      <c r="G19" s="79">
        <f>'WC Schedule'!J11</f>
        <v/>
      </c>
    </row>
    <row r="20" ht="15" customHeight="1" s="52">
      <c r="B20" s="65" t="inlineStr">
        <is>
          <t xml:space="preserve">  Unlevered FCFF</t>
        </is>
      </c>
      <c r="C20" s="86">
        <f>C16+C17-C18-C19</f>
        <v/>
      </c>
      <c r="D20" s="86">
        <f>D16+D17-D18-D19</f>
        <v/>
      </c>
      <c r="E20" s="86">
        <f>E16+E17-E18-E19</f>
        <v/>
      </c>
      <c r="F20" s="86">
        <f>F16+F17-F18-F19</f>
        <v/>
      </c>
      <c r="G20" s="86">
        <f>G16+G17-G18-G19</f>
        <v/>
      </c>
    </row>
    <row r="21" ht="15" customHeight="1" s="52">
      <c r="B21" s="65" t="inlineStr">
        <is>
          <t xml:space="preserve">  Discount period</t>
        </is>
      </c>
      <c r="C21" s="93">
        <f>1-Assumptions!$C$72*0.5</f>
        <v/>
      </c>
      <c r="D21" s="93">
        <f>2-Assumptions!$C$72*0.5</f>
        <v/>
      </c>
      <c r="E21" s="93">
        <f>3-Assumptions!$C$72*0.5</f>
        <v/>
      </c>
      <c r="F21" s="93">
        <f>4-Assumptions!$C$72*0.5</f>
        <v/>
      </c>
      <c r="G21" s="93">
        <f>5-Assumptions!$C$72*0.5</f>
        <v/>
      </c>
    </row>
    <row r="22" ht="15" customHeight="1" s="52">
      <c r="B22" s="65" t="inlineStr">
        <is>
          <t xml:space="preserve">  Discount factor</t>
        </is>
      </c>
      <c r="C22" s="93">
        <f>1/(1+DCF!$C$10)^C21</f>
        <v/>
      </c>
      <c r="D22" s="93">
        <f>1/(1+DCF!$C$10)^D21</f>
        <v/>
      </c>
      <c r="E22" s="93">
        <f>1/(1+DCF!$C$10)^E21</f>
        <v/>
      </c>
      <c r="F22" s="93">
        <f>1/(1+DCF!$C$10)^F21</f>
        <v/>
      </c>
      <c r="G22" s="93">
        <f>1/(1+DCF!$C$10)^G21</f>
        <v/>
      </c>
    </row>
    <row r="23" ht="15" customHeight="1" s="52">
      <c r="B23" s="65" t="inlineStr">
        <is>
          <t xml:space="preserve">  PV of FCFF</t>
        </is>
      </c>
      <c r="C23" s="80">
        <f>C20*C22</f>
        <v/>
      </c>
      <c r="D23" s="80">
        <f>D20*D22</f>
        <v/>
      </c>
      <c r="E23" s="80">
        <f>E20*E22</f>
        <v/>
      </c>
      <c r="F23" s="80">
        <f>F20*F22</f>
        <v/>
      </c>
      <c r="G23" s="80">
        <f>G20*G22</f>
        <v/>
      </c>
    </row>
    <row r="25" ht="15" customHeight="1" s="52">
      <c r="B25" s="58" t="inlineStr">
        <is>
          <t>ENTERPRISE → EQUITY VALUE</t>
        </is>
      </c>
      <c r="C25" s="59" t="n"/>
      <c r="D25" s="59" t="n"/>
      <c r="E25" s="59" t="n"/>
      <c r="F25" s="59" t="n"/>
      <c r="G25" s="59" t="n"/>
      <c r="H25" s="59" t="n"/>
      <c r="I25" s="59" t="n"/>
      <c r="J25" s="59" t="n"/>
    </row>
    <row r="26" ht="15" customHeight="1" s="52">
      <c r="B26" s="55" t="inlineStr">
        <is>
          <t xml:space="preserve">  Sum PV explicit FCFF</t>
        </is>
      </c>
      <c r="C26" s="86">
        <f>SUM(C23:G23)</f>
        <v/>
      </c>
    </row>
    <row r="27" ht="15" customHeight="1" s="52">
      <c r="B27" s="65" t="inlineStr">
        <is>
          <t xml:space="preserve">  Terminal value (Gordon)</t>
        </is>
      </c>
      <c r="C27" s="80">
        <f>G20*(1+Assumptions!$F$63)/(DCF!$C$10-Assumptions!$F$63)</f>
        <v/>
      </c>
    </row>
    <row r="28" ht="15" customHeight="1" s="52">
      <c r="B28" s="65" t="inlineStr">
        <is>
          <t xml:space="preserve">  Terminal value (exit mult)</t>
        </is>
      </c>
      <c r="C28" s="80">
        <f>'Income Statement'!J12*Assumptions!$F$66</f>
        <v/>
      </c>
    </row>
    <row r="29" ht="15" customHeight="1" s="52">
      <c r="B29" s="55" t="inlineStr">
        <is>
          <t xml:space="preserve">  Terminal value (used = avg)</t>
        </is>
      </c>
      <c r="C29" s="86">
        <f>AVERAGE(C27,C28)</f>
        <v/>
      </c>
    </row>
    <row r="30" ht="15" customHeight="1" s="52">
      <c r="B30" s="65" t="inlineStr">
        <is>
          <t xml:space="preserve">  PV of terminal value</t>
        </is>
      </c>
      <c r="C30" s="80">
        <f>C29/(1+DCF!$C$10)^G21</f>
        <v/>
      </c>
    </row>
    <row r="31" ht="15" customHeight="1" s="52">
      <c r="B31" s="55" t="inlineStr">
        <is>
          <t xml:space="preserve">  Enterprise value</t>
        </is>
      </c>
      <c r="C31" s="82">
        <f>C26+C30</f>
        <v/>
      </c>
    </row>
    <row r="32" ht="15" customHeight="1" s="52">
      <c r="B32" s="65" t="inlineStr">
        <is>
          <t xml:space="preserve">  Less: net debt (latest)</t>
        </is>
      </c>
      <c r="C32" s="80">
        <f>-('Debt Schedule'!C19-Assumptions!$C$78)</f>
        <v/>
      </c>
    </row>
    <row r="33" ht="15" customHeight="1" s="52">
      <c r="B33" s="55" t="inlineStr">
        <is>
          <t xml:space="preserve">  Equity value</t>
        </is>
      </c>
      <c r="C33" s="86">
        <f>C31+C32</f>
        <v/>
      </c>
    </row>
    <row r="34" ht="15" customHeight="1" s="52">
      <c r="B34" s="65" t="inlineStr">
        <is>
          <t xml:space="preserve">  Shares outstanding (mm)</t>
        </is>
      </c>
      <c r="C34" s="84">
        <f>Assumptions!$C$76</f>
        <v/>
      </c>
    </row>
    <row r="35" ht="15" customHeight="1" s="52">
      <c r="B35" s="55" t="inlineStr">
        <is>
          <t xml:space="preserve">  Implied value per share</t>
        </is>
      </c>
      <c r="C35" s="94">
        <f>C33/C34</f>
        <v/>
      </c>
    </row>
    <row r="36" ht="15" customHeight="1" s="52">
      <c r="B36" s="65" t="inlineStr">
        <is>
          <t xml:space="preserve">  Current price</t>
        </is>
      </c>
      <c r="C36" s="95">
        <f>Assumptions!$C$77</f>
        <v/>
      </c>
    </row>
    <row r="37" ht="15" customHeight="1" s="52">
      <c r="B37" s="55" t="inlineStr">
        <is>
          <t xml:space="preserve">  Upside / (downside)</t>
        </is>
      </c>
      <c r="C37" s="69">
        <f>C35/C36-1</f>
        <v/>
      </c>
    </row>
    <row r="38" ht="15" customHeight="1" s="52">
      <c r="B38" s="55" t="inlineStr">
        <is>
          <t xml:space="preserve">  TV as % of EV (flag &gt;80%)</t>
        </is>
      </c>
      <c r="C38" s="69">
        <f>C30/C31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B2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26" customWidth="1" style="51" min="2" max="2"/>
    <col width="13" customWidth="1" style="51" min="3" max="10"/>
  </cols>
  <sheetData>
    <row r="2" ht="17.25" customHeight="1" s="52">
      <c r="B2" s="53" t="inlineStr">
        <is>
          <t>Trading Comparables</t>
        </is>
      </c>
    </row>
    <row r="3" ht="15" customHeight="1" s="52">
      <c r="B3" s="54" t="inlineStr">
        <is>
          <t>Peer multiples → implied value triangulation. Blue = input peer data.</t>
        </is>
      </c>
    </row>
    <row r="6" ht="15" customHeight="1" s="52">
      <c r="B6" s="96" t="inlineStr">
        <is>
          <t>Peer / Metric</t>
        </is>
      </c>
      <c r="C6" s="96" t="inlineStr">
        <is>
          <t>EV/Sales</t>
        </is>
      </c>
      <c r="D6" s="96" t="inlineStr">
        <is>
          <t>EV/EBITDA</t>
        </is>
      </c>
      <c r="E6" s="96" t="inlineStr">
        <is>
          <t>P/E</t>
        </is>
      </c>
      <c r="F6" s="96" t="inlineStr">
        <is>
          <t>P/FCF</t>
        </is>
      </c>
    </row>
    <row r="7" ht="15" customHeight="1" s="52">
      <c r="B7" s="65" t="inlineStr">
        <is>
          <t>Peer A</t>
        </is>
      </c>
      <c r="C7" s="72" t="n">
        <v>3</v>
      </c>
      <c r="D7" s="72" t="n">
        <v>12</v>
      </c>
      <c r="E7" s="72" t="n">
        <v>18</v>
      </c>
      <c r="F7" s="72" t="n">
        <v>20</v>
      </c>
    </row>
    <row r="8" ht="15" customHeight="1" s="52">
      <c r="B8" s="65" t="inlineStr">
        <is>
          <t>Peer B</t>
        </is>
      </c>
      <c r="C8" s="72" t="n">
        <v>3</v>
      </c>
      <c r="D8" s="72" t="n">
        <v>12</v>
      </c>
      <c r="E8" s="72" t="n">
        <v>18</v>
      </c>
      <c r="F8" s="72" t="n">
        <v>20</v>
      </c>
    </row>
    <row r="9" ht="15" customHeight="1" s="52">
      <c r="B9" s="65" t="inlineStr">
        <is>
          <t>Peer C</t>
        </is>
      </c>
      <c r="C9" s="72" t="n">
        <v>3</v>
      </c>
      <c r="D9" s="72" t="n">
        <v>12</v>
      </c>
      <c r="E9" s="72" t="n">
        <v>18</v>
      </c>
      <c r="F9" s="72" t="n">
        <v>20</v>
      </c>
    </row>
    <row r="10" ht="15" customHeight="1" s="52">
      <c r="B10" s="65" t="inlineStr">
        <is>
          <t>Peer D</t>
        </is>
      </c>
      <c r="C10" s="72" t="n">
        <v>3</v>
      </c>
      <c r="D10" s="72" t="n">
        <v>12</v>
      </c>
      <c r="E10" s="72" t="n">
        <v>18</v>
      </c>
      <c r="F10" s="72" t="n">
        <v>20</v>
      </c>
    </row>
    <row r="11" ht="15" customHeight="1" s="52">
      <c r="B11" s="55" t="inlineStr">
        <is>
          <t>Median</t>
        </is>
      </c>
      <c r="C11" s="97">
        <f>MEDIAN(C7:C10)</f>
        <v/>
      </c>
      <c r="D11" s="97">
        <f>MEDIAN(D7:D10)</f>
        <v/>
      </c>
      <c r="E11" s="97">
        <f>MEDIAN(E7:E10)</f>
        <v/>
      </c>
      <c r="F11" s="97">
        <f>MEDIAN(F7:F10)</f>
        <v/>
      </c>
    </row>
    <row r="13" ht="15" customHeight="1" s="52">
      <c r="B13" s="58" t="inlineStr">
        <is>
          <t>IMPLIED EQUITY VALUE PER SHARE</t>
        </is>
      </c>
    </row>
    <row r="14" ht="15" customHeight="1" s="52">
      <c r="B14" s="65" t="inlineStr">
        <is>
          <t xml:space="preserve">  From EV/Sales</t>
        </is>
      </c>
      <c r="E14" s="95">
        <f>(C11*'Income Statement'!F7-('Debt Schedule'!C19-Assumptions!$C$78))/Assumptions!$C$76</f>
        <v/>
      </c>
    </row>
    <row r="15" ht="15" customHeight="1" s="52">
      <c r="B15" s="65" t="inlineStr">
        <is>
          <t xml:space="preserve">  From EV/EBITDA</t>
        </is>
      </c>
      <c r="E15" s="95">
        <f>(D11*'Income Statement'!F12-('Debt Schedule'!C19-Assumptions!$C$78))/Assumptions!$C$76</f>
        <v/>
      </c>
    </row>
    <row r="16" ht="15" customHeight="1" s="52">
      <c r="B16" s="65" t="inlineStr">
        <is>
          <t xml:space="preserve">  From P/E</t>
        </is>
      </c>
      <c r="E16" s="95">
        <f>E11*'Income Statement'!F18/Assumptions!$C$76</f>
        <v/>
      </c>
    </row>
    <row r="17" ht="15" customHeight="1" s="52">
      <c r="B17" s="55" t="inlineStr">
        <is>
          <t xml:space="preserve">  Average implied value/share</t>
        </is>
      </c>
      <c r="E17" s="94">
        <f>AVERAGE(E14:E16)</f>
        <v/>
      </c>
    </row>
  </sheetData>
  <mergeCells count="1"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B2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28" customWidth="1" style="51" min="2" max="2"/>
    <col width="13" customWidth="1" style="51" min="3" max="10"/>
  </cols>
  <sheetData>
    <row r="2" ht="17.25" customHeight="1" s="52">
      <c r="B2" s="53" t="inlineStr">
        <is>
          <t>Scenario &amp; Sensitivity</t>
        </is>
      </c>
    </row>
    <row r="3" ht="15" customHeight="1" s="52">
      <c r="B3" s="54" t="inlineStr">
        <is>
          <t>Switch scenario on Assumptions!C9 to compare. Sensitivity grid = WACC × g.</t>
        </is>
      </c>
    </row>
    <row r="6" ht="15" customHeight="1" s="52">
      <c r="B6" s="58" t="inlineStr">
        <is>
          <t>VALUE PER SHARE — WACC × terminal growth</t>
        </is>
      </c>
      <c r="C6" s="59" t="n"/>
      <c r="D6" s="59" t="n"/>
      <c r="E6" s="59" t="n"/>
      <c r="F6" s="59" t="n"/>
      <c r="G6" s="59" t="n"/>
      <c r="H6" s="59" t="n"/>
    </row>
    <row r="8" ht="15" customHeight="1" s="52">
      <c r="B8" s="55" t="inlineStr">
        <is>
          <t>WACC \ g</t>
        </is>
      </c>
      <c r="C8" s="98">
        <f>Assumptions!$F$63+-0.01</f>
        <v/>
      </c>
      <c r="D8" s="98">
        <f>Assumptions!$F$63+-0.005</f>
        <v/>
      </c>
      <c r="E8" s="98">
        <f>Assumptions!$F$63+0</f>
        <v/>
      </c>
      <c r="F8" s="98">
        <f>Assumptions!$F$63+0.005</f>
        <v/>
      </c>
      <c r="G8" s="98">
        <f>Assumptions!$F$63+0.01</f>
        <v/>
      </c>
    </row>
    <row r="9" ht="15" customHeight="1" s="52">
      <c r="B9" s="64">
        <f>DCF!$C$10+-0.01</f>
        <v/>
      </c>
      <c r="C9" s="95">
        <f>(DCF!$C$26+(DCF!$G$20*(1+C$8)/($B9-C$8))/(1+$B9)^DCF!$G$21+DCF!$C$32)/DCF!$C$34</f>
        <v/>
      </c>
      <c r="D9" s="95">
        <f>(DCF!$C$26+(DCF!$G$20*(1+D$8)/($B9-D$8))/(1+$B9)^DCF!$G$21+DCF!$C$32)/DCF!$C$34</f>
        <v/>
      </c>
      <c r="E9" s="95">
        <f>(DCF!$C$26+(DCF!$G$20*(1+E$8)/($B9-E$8))/(1+$B9)^DCF!$G$21+DCF!$C$32)/DCF!$C$34</f>
        <v/>
      </c>
      <c r="F9" s="95">
        <f>(DCF!$C$26+(DCF!$G$20*(1+F$8)/($B9-F$8))/(1+$B9)^DCF!$G$21+DCF!$C$32)/DCF!$C$34</f>
        <v/>
      </c>
      <c r="G9" s="95">
        <f>(DCF!$C$26+(DCF!$G$20*(1+G$8)/($B9-G$8))/(1+$B9)^DCF!$G$21+DCF!$C$32)/DCF!$C$34</f>
        <v/>
      </c>
    </row>
    <row r="10" ht="15" customHeight="1" s="52">
      <c r="B10" s="64">
        <f>DCF!$C$10+-0.005</f>
        <v/>
      </c>
      <c r="C10" s="95">
        <f>(DCF!$C$26+(DCF!$G$20*(1+C$8)/($B10-C$8))/(1+$B10)^DCF!$G$21+DCF!$C$32)/DCF!$C$34</f>
        <v/>
      </c>
      <c r="D10" s="95">
        <f>(DCF!$C$26+(DCF!$G$20*(1+D$8)/($B10-D$8))/(1+$B10)^DCF!$G$21+DCF!$C$32)/DCF!$C$34</f>
        <v/>
      </c>
      <c r="E10" s="95">
        <f>(DCF!$C$26+(DCF!$G$20*(1+E$8)/($B10-E$8))/(1+$B10)^DCF!$G$21+DCF!$C$32)/DCF!$C$34</f>
        <v/>
      </c>
      <c r="F10" s="95">
        <f>(DCF!$C$26+(DCF!$G$20*(1+F$8)/($B10-F$8))/(1+$B10)^DCF!$G$21+DCF!$C$32)/DCF!$C$34</f>
        <v/>
      </c>
      <c r="G10" s="95">
        <f>(DCF!$C$26+(DCF!$G$20*(1+G$8)/($B10-G$8))/(1+$B10)^DCF!$G$21+DCF!$C$32)/DCF!$C$34</f>
        <v/>
      </c>
    </row>
    <row r="11" ht="15" customHeight="1" s="52">
      <c r="B11" s="64">
        <f>DCF!$C$10+0</f>
        <v/>
      </c>
      <c r="C11" s="95">
        <f>(DCF!$C$26+(DCF!$G$20*(1+C$8)/($B11-C$8))/(1+$B11)^DCF!$G$21+DCF!$C$32)/DCF!$C$34</f>
        <v/>
      </c>
      <c r="D11" s="95">
        <f>(DCF!$C$26+(DCF!$G$20*(1+D$8)/($B11-D$8))/(1+$B11)^DCF!$G$21+DCF!$C$32)/DCF!$C$34</f>
        <v/>
      </c>
      <c r="E11" s="95">
        <f>(DCF!$C$26+(DCF!$G$20*(1+E$8)/($B11-E$8))/(1+$B11)^DCF!$G$21+DCF!$C$32)/DCF!$C$34</f>
        <v/>
      </c>
      <c r="F11" s="95">
        <f>(DCF!$C$26+(DCF!$G$20*(1+F$8)/($B11-F$8))/(1+$B11)^DCF!$G$21+DCF!$C$32)/DCF!$C$34</f>
        <v/>
      </c>
      <c r="G11" s="95">
        <f>(DCF!$C$26+(DCF!$G$20*(1+G$8)/($B11-G$8))/(1+$B11)^DCF!$G$21+DCF!$C$32)/DCF!$C$34</f>
        <v/>
      </c>
    </row>
    <row r="12" ht="15" customHeight="1" s="52">
      <c r="B12" s="64">
        <f>DCF!$C$10+0.005</f>
        <v/>
      </c>
      <c r="C12" s="95">
        <f>(DCF!$C$26+(DCF!$G$20*(1+C$8)/($B12-C$8))/(1+$B12)^DCF!$G$21+DCF!$C$32)/DCF!$C$34</f>
        <v/>
      </c>
      <c r="D12" s="95">
        <f>(DCF!$C$26+(DCF!$G$20*(1+D$8)/($B12-D$8))/(1+$B12)^DCF!$G$21+DCF!$C$32)/DCF!$C$34</f>
        <v/>
      </c>
      <c r="E12" s="95">
        <f>(DCF!$C$26+(DCF!$G$20*(1+E$8)/($B12-E$8))/(1+$B12)^DCF!$G$21+DCF!$C$32)/DCF!$C$34</f>
        <v/>
      </c>
      <c r="F12" s="95">
        <f>(DCF!$C$26+(DCF!$G$20*(1+F$8)/($B12-F$8))/(1+$B12)^DCF!$G$21+DCF!$C$32)/DCF!$C$34</f>
        <v/>
      </c>
      <c r="G12" s="95">
        <f>(DCF!$C$26+(DCF!$G$20*(1+G$8)/($B12-G$8))/(1+$B12)^DCF!$G$21+DCF!$C$32)/DCF!$C$34</f>
        <v/>
      </c>
    </row>
    <row r="13" ht="15" customHeight="1" s="52">
      <c r="B13" s="64">
        <f>DCF!$C$10+0.01</f>
        <v/>
      </c>
      <c r="C13" s="95">
        <f>(DCF!$C$26+(DCF!$G$20*(1+C$8)/($B13-C$8))/(1+$B13)^DCF!$G$21+DCF!$C$32)/DCF!$C$34</f>
        <v/>
      </c>
      <c r="D13" s="95">
        <f>(DCF!$C$26+(DCF!$G$20*(1+D$8)/($B13-D$8))/(1+$B13)^DCF!$G$21+DCF!$C$32)/DCF!$C$34</f>
        <v/>
      </c>
      <c r="E13" s="95">
        <f>(DCF!$C$26+(DCF!$G$20*(1+E$8)/($B13-E$8))/(1+$B13)^DCF!$G$21+DCF!$C$32)/DCF!$C$34</f>
        <v/>
      </c>
      <c r="F13" s="95">
        <f>(DCF!$C$26+(DCF!$G$20*(1+F$8)/($B13-F$8))/(1+$B13)^DCF!$G$21+DCF!$C$32)/DCF!$C$34</f>
        <v/>
      </c>
      <c r="G13" s="95">
        <f>(DCF!$C$26+(DCF!$G$20*(1+G$8)/($B13-G$8))/(1+$B13)^DCF!$G$21+DCF!$C$32)/DCF!$C$34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B2:C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51" min="1" max="1"/>
    <col width="44" customWidth="1" style="51" min="2" max="2"/>
    <col width="13" customWidth="1" style="51" min="3" max="10"/>
  </cols>
  <sheetData>
    <row r="2" ht="17.25" customHeight="1" s="52">
      <c r="B2" s="53" t="inlineStr">
        <is>
          <t>Integrity Checks</t>
        </is>
      </c>
    </row>
    <row r="3" ht="15" customHeight="1" s="52">
      <c r="B3" s="54" t="inlineStr">
        <is>
          <t>All must read OK / 0. Agent refuses delivery otherwise.</t>
        </is>
      </c>
    </row>
    <row r="5" ht="15" customHeight="1" s="52">
      <c r="B5" s="99" t="inlineStr">
        <is>
          <t>Check</t>
        </is>
      </c>
      <c r="C5" s="99" t="inlineStr">
        <is>
          <t>Result</t>
        </is>
      </c>
    </row>
    <row r="6" ht="15" customHeight="1" s="52">
      <c r="B6" s="65" t="inlineStr">
        <is>
          <t>Balance sheet balances (max abs)</t>
        </is>
      </c>
      <c r="C6" s="100">
        <f>SUMPRODUCT(MAX(ABS('Balance Sheet'!C20:J20)))</f>
        <v/>
      </c>
    </row>
    <row r="7" ht="15" customHeight="1" s="52">
      <c r="B7" s="65" t="inlineStr">
        <is>
          <t>Cash flow ties to BS (max abs)</t>
        </is>
      </c>
      <c r="C7" s="100">
        <f>SUMPRODUCT(MAX(ABS('Cash Flow'!C23:J23)))</f>
        <v/>
      </c>
    </row>
    <row r="8" ht="15" customHeight="1" s="52">
      <c r="B8" s="65" t="inlineStr">
        <is>
          <t>WACC &gt; terminal growth</t>
        </is>
      </c>
      <c r="C8" s="100">
        <f>IF(DCF!$C$10&gt;Assumptions!$F$63,"OK","FAIL")</f>
        <v/>
      </c>
    </row>
    <row r="9" ht="15" customHeight="1" s="52">
      <c r="B9" s="65" t="inlineStr">
        <is>
          <t>Terminal value &lt; 80% of EV</t>
        </is>
      </c>
      <c r="C9" s="100">
        <f>IF(DCF!C38&lt;0.8,"OK","REVIEW")</f>
        <v/>
      </c>
    </row>
    <row r="10" ht="15" customHeight="1" s="52">
      <c r="B10" s="65" t="inlineStr">
        <is>
          <t>Min interest coverage &gt; 2.0x</t>
        </is>
      </c>
      <c r="C10" s="100">
        <f>IF(MIN('Debt Schedule'!C26:J26)&gt;2,"OK","REVIEW")</f>
        <v/>
      </c>
    </row>
    <row r="11" ht="15" customHeight="1" s="52">
      <c r="B11" s="65" t="inlineStr">
        <is>
          <t>Revolver non-negative all years</t>
        </is>
      </c>
      <c r="C11" s="100">
        <f>IF(MIN('Debt Schedule'!C18:J18)&gt;=0,"OK","FAIL")</f>
        <v/>
      </c>
    </row>
    <row r="12" ht="15" customHeight="1" s="52">
      <c r="B12" s="65" t="inlineStr">
        <is>
          <t>Scenario selector valid (1-3)</t>
        </is>
      </c>
      <c r="C12" s="100">
        <f>IF(AND(Assumptions!$C$9&gt;=1,Assumptions!$C$9&lt;=3),"OK","FAIL")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2026-05-28T05:16:21Z</dcterms:created>
  <dcterms:modified xmlns:dcterms="http://purl.org/dc/terms/" xmlns:xsi="http://www.w3.org/2001/XMLSchema-instance" xsi:type="dcterms:W3CDTF">2026-05-29T03:33:12Z</dcterms:modified>
  <cp:revision>0</cp:revision>
</cp:coreProperties>
</file>