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Income Statement" sheetId="2" state="visible" r:id="rId4"/>
    <sheet name="Balance Sheet" sheetId="3" state="visible" r:id="rId5"/>
    <sheet name="Cash Flow" sheetId="4" state="visible" r:id="rId6"/>
    <sheet name="PP&amp;E Schedule" sheetId="5" state="visible" r:id="rId7"/>
    <sheet name="Debt Schedule" sheetId="6" state="visible" r:id="rId8"/>
    <sheet name="WC Schedule" sheetId="7" state="visible" r:id="rId9"/>
    <sheet name="DCF" sheetId="8" state="visible" r:id="rId10"/>
    <sheet name="Comps" sheetId="9" state="visible" r:id="rId11"/>
    <sheet name="Scenario &amp; Sensitivity" sheetId="10" state="visible" r:id="rId12"/>
    <sheet name="Checks" sheetId="11" state="visible" r:id="rId13"/>
  </sheets>
  <definedNames>
    <definedName function="false" hidden="false" name="chk_bs_balance" vbProcedure="false">Checks!$C$6</definedName>
    <definedName function="false" hidden="false" name="chk_cf_tie" vbProcedure="false">Checks!$C$7</definedName>
    <definedName function="false" hidden="false" name="chk_int_coverage" vbProcedure="false">Checks!$C$10</definedName>
    <definedName function="false" hidden="false" name="chk_revolver_nonneg" vbProcedure="false">Checks!$C$11</definedName>
    <definedName function="false" hidden="false" name="chk_scenario_valid" vbProcedure="false">Checks!$C$12</definedName>
    <definedName function="false" hidden="false" name="chk_tv_pct" vbProcedure="false">Checks!$C$9</definedName>
    <definedName function="false" hidden="false" name="chk_wacc_gt_g" vbProcedure="false">Checks!$C$8</definedName>
    <definedName function="false" hidden="false" name="in_beta_base" vbProcedure="false">Assumptions!$D$65</definedName>
    <definedName function="false" hidden="false" name="in_beta_bear" vbProcedure="false">Assumptions!$E$65</definedName>
    <definedName function="false" hidden="false" name="in_beta_bull" vbProcedure="false">Assumptions!$C$65</definedName>
    <definedName function="false" hidden="false" name="in_erp_base" vbProcedure="false">Assumptions!$D$64</definedName>
    <definedName function="false" hidden="false" name="in_erp_bear" vbProcedure="false">Assumptions!$E$64</definedName>
    <definedName function="false" hidden="false" name="in_erp_bull" vbProcedure="false">Assumptions!$C$64</definedName>
    <definedName function="false" hidden="false" name="in_exit_mult_base" vbProcedure="false">Assumptions!$D$66</definedName>
    <definedName function="false" hidden="false" name="in_exit_mult_bear" vbProcedure="false">Assumptions!$E$66</definedName>
    <definedName function="false" hidden="false" name="in_exit_mult_bull" vbProcedure="false">Assumptions!$C$66</definedName>
    <definedName function="false" hidden="false" name="in_gross_margin_base" vbProcedure="false">Assumptions!$C$22</definedName>
    <definedName function="false" hidden="false" name="in_gross_margin_bear" vbProcedure="false">Assumptions!$C$23</definedName>
    <definedName function="false" hidden="false" name="in_gross_margin_bull" vbProcedure="false">Assumptions!$C$21</definedName>
    <definedName function="false" hidden="false" name="in_min_cash" vbProcedure="false">'Debt Schedule'!$C$10</definedName>
    <definedName function="false" hidden="false" name="in_payout_base" vbProcedure="false">Assumptions!$C$46</definedName>
    <definedName function="false" hidden="false" name="in_payout_bear" vbProcedure="false">Assumptions!$C$47</definedName>
    <definedName function="false" hidden="false" name="in_payout_bull" vbProcedure="false">Assumptions!$C$45</definedName>
    <definedName function="false" hidden="false" name="in_ppe_useful_life" vbProcedure="false">'PP&amp;E Schedule'!$C$11</definedName>
    <definedName function="false" hidden="false" name="in_revolver_rate" vbProcedure="false">'Debt Schedule'!$C$9</definedName>
    <definedName function="false" hidden="false" name="in_rev_growth_base" vbProcedure="false">Assumptions!$C$16</definedName>
    <definedName function="false" hidden="false" name="in_rev_growth_bear" vbProcedure="false">Assumptions!$C$17</definedName>
    <definedName function="false" hidden="false" name="in_rev_growth_bull" vbProcedure="false">Assumptions!$C$15</definedName>
    <definedName function="false" hidden="false" name="in_rnd_pct_base" vbProcedure="false">Assumptions!$C$34</definedName>
    <definedName function="false" hidden="false" name="in_rnd_pct_bear" vbProcedure="false">Assumptions!$C$35</definedName>
    <definedName function="false" hidden="false" name="in_rnd_pct_bull" vbProcedure="false">Assumptions!$C$33</definedName>
    <definedName function="false" hidden="false" name="in_scenario" vbProcedure="false">Assumptions!$C$9</definedName>
    <definedName function="false" hidden="false" name="in_sga_pct_base" vbProcedure="false">Assumptions!$C$28</definedName>
    <definedName function="false" hidden="false" name="in_sga_pct_bear" vbProcedure="false">Assumptions!$C$29</definedName>
    <definedName function="false" hidden="false" name="in_sga_pct_bull" vbProcedure="false">Assumptions!$C$27</definedName>
    <definedName function="false" hidden="false" name="in_tax_rate_base" vbProcedure="false">Assumptions!$C$40</definedName>
    <definedName function="false" hidden="false" name="in_tax_rate_bear" vbProcedure="false">Assumptions!$C$41</definedName>
    <definedName function="false" hidden="false" name="in_tax_rate_bull" vbProcedure="false">Assumptions!$C$39</definedName>
    <definedName function="false" hidden="false" name="in_term_loan_amort" vbProcedure="false">'Debt Schedule'!$C$7</definedName>
    <definedName function="false" hidden="false" name="in_term_loan_open" vbProcedure="false">'Debt Schedule'!$C$6</definedName>
    <definedName function="false" hidden="false" name="in_term_loan_rate" vbProcedure="false">'Debt Schedule'!$C$8</definedName>
    <definedName function="false" hidden="false" name="in_tgr_base" vbProcedure="false">Assumptions!$D$63</definedName>
    <definedName function="false" hidden="false" name="in_tgr_bear" vbProcedure="false">Assumptions!$E$63</definedName>
    <definedName function="false" hidden="false" name="in_tgr_bull" vbProcedure="false">Assumptions!$C$63</definedName>
    <definedName function="false" hidden="false" name="out_comps_avg_vps" vbProcedure="false">Comps!$E$17</definedName>
    <definedName function="false" hidden="false" name="out_enterprise_value" vbProcedure="false">DCF!$C$31</definedName>
    <definedName function="false" hidden="false" name="out_equity_value" vbProcedure="false">DCF!$C$33</definedName>
    <definedName function="false" hidden="false" name="out_tv_pct_ev" vbProcedure="false">DCF!$C$38</definedName>
    <definedName function="false" hidden="false" name="out_upside" vbProcedure="false">DCF!$C$37</definedName>
    <definedName function="false" hidden="false" name="out_value_per_share" vbProcedure="false">DCF!$C$35</definedName>
    <definedName function="false" hidden="false" name="out_wacc" vbProcedure="false">DCF!$C$10</definedName>
    <definedName function="false" hidden="false" name="rng_beta_active" vbProcedure="false">Assumptions!$F$65</definedName>
    <definedName function="false" hidden="false" name="rng_capex_pct_active" vbProcedure="false">Assumptions!$C$59</definedName>
    <definedName function="false" hidden="false" name="rng_capex_pct_active_row" vbProcedure="false">Assumptions!$C$59:$J$59</definedName>
    <definedName function="false" hidden="false" name="rng_cash_latest" vbProcedure="false">Assumptions!$C$78</definedName>
    <definedName function="false" hidden="false" name="rng_circular" vbProcedure="false">Assumptions!$C$73</definedName>
    <definedName function="false" hidden="false" name="rng_cur_price" vbProcedure="false">Assumptions!$C$77</definedName>
    <definedName function="false" hidden="false" name="rng_da_pct" vbProcedure="false">Assumptions!$C$54</definedName>
    <definedName function="false" hidden="false" name="rng_da_pct_row" vbProcedure="false">Assumptions!$C$54:$J$54</definedName>
    <definedName function="false" hidden="false" name="rng_debt_wt" vbProcedure="false">Assumptions!$C$71</definedName>
    <definedName function="false" hidden="false" name="rng_dio" vbProcedure="false">Assumptions!$C$52</definedName>
    <definedName function="false" hidden="false" name="rng_dio_row" vbProcedure="false">Assumptions!$C$52:$J$52</definedName>
    <definedName function="false" hidden="false" name="rng_dpo" vbProcedure="false">Assumptions!$C$53</definedName>
    <definedName function="false" hidden="false" name="rng_dpo_row" vbProcedure="false">Assumptions!$C$53:$J$53</definedName>
    <definedName function="false" hidden="false" name="rng_dso" vbProcedure="false">Assumptions!$C$51</definedName>
    <definedName function="false" hidden="false" name="rng_dso_row" vbProcedure="false">Assumptions!$C$51:$J$51</definedName>
    <definedName function="false" hidden="false" name="rng_erp_active" vbProcedure="false">Assumptions!$F$64</definedName>
    <definedName function="false" hidden="false" name="rng_exit_mult_active" vbProcedure="false">Assumptions!$F$66</definedName>
    <definedName function="false" hidden="false" name="rng_gross_margin_active" vbProcedure="false">Assumptions!$C$24</definedName>
    <definedName function="false" hidden="false" name="rng_gross_margin_active_row" vbProcedure="false">Assumptions!$C$24:$J$24</definedName>
    <definedName function="false" hidden="false" name="rng_kd" vbProcedure="false">Assumptions!$C$70</definedName>
    <definedName function="false" hidden="false" name="rng_midyear" vbProcedure="false">Assumptions!$C$72</definedName>
    <definedName function="false" hidden="false" name="rng_payout_active" vbProcedure="false">Assumptions!$C$48</definedName>
    <definedName function="false" hidden="false" name="rng_payout_active_row" vbProcedure="false">Assumptions!$C$48:$J$48</definedName>
    <definedName function="false" hidden="false" name="rng_rev_growth_active" vbProcedure="false">Assumptions!$C$18</definedName>
    <definedName function="false" hidden="false" name="rng_rev_growth_active_row" vbProcedure="false">Assumptions!$C$18:$J$18</definedName>
    <definedName function="false" hidden="false" name="rng_rev_hist_row" vbProcedure="false">Assumptions!$C$79:$E$79</definedName>
    <definedName function="false" hidden="false" name="rng_rf" vbProcedure="false">Assumptions!$C$69</definedName>
    <definedName function="false" hidden="false" name="rng_rnd_pct_active" vbProcedure="false">Assumptions!$C$36</definedName>
    <definedName function="false" hidden="false" name="rng_rnd_pct_active_row" vbProcedure="false">Assumptions!$C$36:$J$36</definedName>
    <definedName function="false" hidden="false" name="rng_sga_pct_active" vbProcedure="false">Assumptions!$C$30</definedName>
    <definedName function="false" hidden="false" name="rng_sga_pct_active_row" vbProcedure="false">Assumptions!$C$30:$J$30</definedName>
    <definedName function="false" hidden="false" name="rng_shares" vbProcedure="false">Assumptions!$C$76</definedName>
    <definedName function="false" hidden="false" name="rng_tax_rate_active" vbProcedure="false">Assumptions!$C$42</definedName>
    <definedName function="false" hidden="false" name="rng_tax_rate_active_row" vbProcedure="false">Assumptions!$C$42:$J$42</definedName>
    <definedName function="false" hidden="false" name="rng_tgr_active" vbProcedure="false">Assumptions!$F$63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<sst xmlns="http://schemas.openxmlformats.org/spreadsheetml/2006/main" count="244" uniqueCount="199">
  <si>
    <t xml:space="preserve">Driver Assumptions</t>
  </si>
  <si>
    <t xml:space="preserve">Scenario selector drives all operating, capex, debt and DCF inputs. Blue = input.</t>
  </si>
  <si>
    <t xml:space="preserve">Fiscal Year</t>
  </si>
  <si>
    <t xml:space="preserve">Period type</t>
  </si>
  <si>
    <t xml:space="preserve">Actual</t>
  </si>
  <si>
    <t xml:space="preserve">Estimate</t>
  </si>
  <si>
    <t xml:space="preserve">SCENARIO SELECTOR (1=Bull  2=Base  3=Bear)</t>
  </si>
  <si>
    <t xml:space="preserve">Active scenario →</t>
  </si>
  <si>
    <t xml:space="preserve">OPERATING DRIVERS — scenario inputs</t>
  </si>
  <si>
    <t xml:space="preserve">(Bull / Base / Bear stacked; Active = CHOOSE)</t>
  </si>
  <si>
    <t xml:space="preserve">Revenue growth %</t>
  </si>
  <si>
    <t xml:space="preserve">  Bull</t>
  </si>
  <si>
    <t xml:space="preserve">-</t>
  </si>
  <si>
    <t xml:space="preserve">  Base</t>
  </si>
  <si>
    <t xml:space="preserve">  Bear</t>
  </si>
  <si>
    <t xml:space="preserve">  → Active</t>
  </si>
  <si>
    <t xml:space="preserve">Gross margin %</t>
  </si>
  <si>
    <t xml:space="preserve">SG&amp;A % of revenue</t>
  </si>
  <si>
    <t xml:space="preserve">R&amp;D % of revenue</t>
  </si>
  <si>
    <t xml:space="preserve">Tax rate %</t>
  </si>
  <si>
    <t xml:space="preserve">Dividend payout %</t>
  </si>
  <si>
    <t xml:space="preserve">WORKING CAPITAL &amp; CAPEX DRIVERS</t>
  </si>
  <si>
    <t xml:space="preserve">Days sales outstanding (DSO)</t>
  </si>
  <si>
    <t xml:space="preserve">Days inventory outstanding (DIO)</t>
  </si>
  <si>
    <t xml:space="preserve">Days payable outstanding (DPO)</t>
  </si>
  <si>
    <t xml:space="preserve">D&amp;A % of revenue</t>
  </si>
  <si>
    <t xml:space="preserve">Capex % of revenue (scenario)</t>
  </si>
  <si>
    <t xml:space="preserve">DCF INPUTS — scenario aware</t>
  </si>
  <si>
    <t xml:space="preserve">Bull</t>
  </si>
  <si>
    <t xml:space="preserve">Base</t>
  </si>
  <si>
    <t xml:space="preserve">Bear</t>
  </si>
  <si>
    <t xml:space="preserve">Active</t>
  </si>
  <si>
    <t xml:space="preserve">Terminal growth g %</t>
  </si>
  <si>
    <t xml:space="preserve">Equity risk premium %</t>
  </si>
  <si>
    <t xml:space="preserve">Levered beta</t>
  </si>
  <si>
    <t xml:space="preserve">Terminal EV/EBITDA exit</t>
  </si>
  <si>
    <t xml:space="preserve">WACC / CAPITAL — fixed inputs</t>
  </si>
  <si>
    <t xml:space="preserve">Risk-free rate (10Y UST)</t>
  </si>
  <si>
    <t xml:space="preserve">Pre-tax cost of debt</t>
  </si>
  <si>
    <t xml:space="preserve">Target debt / total cap</t>
  </si>
  <si>
    <t xml:space="preserve">Mid-year convention (1/0)</t>
  </si>
  <si>
    <t xml:space="preserve">Circular interest toggle (1/0)</t>
  </si>
  <si>
    <t xml:space="preserve">SHARES / DEBT / SEED ACTUALS</t>
  </si>
  <si>
    <t xml:space="preserve">Shares outstanding (mm)</t>
  </si>
  <si>
    <t xml:space="preserve">Current share price</t>
  </si>
  <si>
    <t xml:space="preserve">Cash &amp; equivalents (latest)</t>
  </si>
  <si>
    <t xml:space="preserve">Revenue (historical actuals)</t>
  </si>
  <si>
    <t xml:space="preserve">COGS (historical actuals)</t>
  </si>
  <si>
    <t xml:space="preserve">Income Statement</t>
  </si>
  <si>
    <t xml:space="preserve">Revenue grows via scenario driver. Interest from debt schedule.</t>
  </si>
  <si>
    <t xml:space="preserve">($ in millions)</t>
  </si>
  <si>
    <t xml:space="preserve">Revenue</t>
  </si>
  <si>
    <t xml:space="preserve">  Cost of goods sold</t>
  </si>
  <si>
    <t xml:space="preserve">Gross profit</t>
  </si>
  <si>
    <t xml:space="preserve">  SG&amp;A</t>
  </si>
  <si>
    <t xml:space="preserve">  R&amp;D</t>
  </si>
  <si>
    <t xml:space="preserve">EBITDA</t>
  </si>
  <si>
    <t xml:space="preserve">  Depreciation &amp; amortization</t>
  </si>
  <si>
    <t xml:space="preserve">EBIT (operating income)</t>
  </si>
  <si>
    <t xml:space="preserve">  Interest expense, net</t>
  </si>
  <si>
    <t xml:space="preserve">Pre-tax income</t>
  </si>
  <si>
    <t xml:space="preserve">  Income taxes</t>
  </si>
  <si>
    <t xml:space="preserve">Net income</t>
  </si>
  <si>
    <t xml:space="preserve">  Dividends paid</t>
  </si>
  <si>
    <t xml:space="preserve">Retained earnings addition</t>
  </si>
  <si>
    <t xml:space="preserve">EPS (diluted, $)</t>
  </si>
  <si>
    <t xml:space="preserve">  Diluted shares (mm)</t>
  </si>
  <si>
    <t xml:space="preserve">Balance Sheet</t>
  </si>
  <si>
    <t xml:space="preserve">All lines from schedules. Cash from CF. Equity roll-forward. Must balance.</t>
  </si>
  <si>
    <t xml:space="preserve">ASSETS</t>
  </si>
  <si>
    <t xml:space="preserve">  Cash &amp; equivalents</t>
  </si>
  <si>
    <t xml:space="preserve">  Accounts receivable</t>
  </si>
  <si>
    <t xml:space="preserve">  Inventory</t>
  </si>
  <si>
    <t xml:space="preserve">  Net PP&amp;E</t>
  </si>
  <si>
    <t xml:space="preserve">Total assets</t>
  </si>
  <si>
    <t xml:space="preserve">LIABILITIES &amp; EQUITY</t>
  </si>
  <si>
    <t xml:space="preserve">  Accounts payable</t>
  </si>
  <si>
    <t xml:space="preserve">  Total debt</t>
  </si>
  <si>
    <t xml:space="preserve">  Common equity</t>
  </si>
  <si>
    <t xml:space="preserve">Total liab. &amp; equity</t>
  </si>
  <si>
    <t xml:space="preserve">BALANCE CHECK (=0)</t>
  </si>
  <si>
    <t xml:space="preserve">Cash Flow Statement</t>
  </si>
  <si>
    <t xml:space="preserve">Indirect method. Pre-financing flow feeds revolver logic. Ends → balance sheet cash.</t>
  </si>
  <si>
    <t xml:space="preserve">  Net income</t>
  </si>
  <si>
    <t xml:space="preserve">  Add: D&amp;A</t>
  </si>
  <si>
    <t xml:space="preserve">  Less: change in NWC</t>
  </si>
  <si>
    <t xml:space="preserve">Cash flow from operations</t>
  </si>
  <si>
    <t xml:space="preserve">  Less: capex</t>
  </si>
  <si>
    <t xml:space="preserve">Cash flow from investing</t>
  </si>
  <si>
    <t xml:space="preserve">Pre-financing cash flow</t>
  </si>
  <si>
    <t xml:space="preserve">  Beginning cash</t>
  </si>
  <si>
    <t xml:space="preserve">  Cash avail. before revolver</t>
  </si>
  <si>
    <t xml:space="preserve">  Term loan amortization</t>
  </si>
  <si>
    <t xml:space="preserve">  Revolver draw / (repay)</t>
  </si>
  <si>
    <t xml:space="preserve">Cash flow from financing</t>
  </si>
  <si>
    <t xml:space="preserve">Net change in cash</t>
  </si>
  <si>
    <t xml:space="preserve">Ending cash</t>
  </si>
  <si>
    <t xml:space="preserve">CF TIE-OUT vs BS (=0)</t>
  </si>
  <si>
    <t xml:space="preserve">PP&amp;E Schedule</t>
  </si>
  <si>
    <t xml:space="preserve">Capex roll-forward with straight-line depreciation on opening balance.</t>
  </si>
  <si>
    <t xml:space="preserve">  Opening net PP&amp;E</t>
  </si>
  <si>
    <t xml:space="preserve">  Capex</t>
  </si>
  <si>
    <t xml:space="preserve">  Depreciation</t>
  </si>
  <si>
    <t xml:space="preserve">Closing net PP&amp;E</t>
  </si>
  <si>
    <t xml:space="preserve">  Useful life (years, input)</t>
  </si>
  <si>
    <t xml:space="preserve">Debt Schedule</t>
  </si>
  <si>
    <t xml:space="preserve">Term loan with scheduled amort + revolver. Interest on avg balance. Circular toggle on Assumptions.</t>
  </si>
  <si>
    <t xml:space="preserve">DEBT INPUTS (blue)</t>
  </si>
  <si>
    <t xml:space="preserve">  Term loan opening balance</t>
  </si>
  <si>
    <t xml:space="preserve">  Mandatory amortization / yr</t>
  </si>
  <si>
    <t xml:space="preserve">  Term loan interest rate</t>
  </si>
  <si>
    <t xml:space="preserve">  Revolver interest rate</t>
  </si>
  <si>
    <t xml:space="preserve">  Minimum cash balance</t>
  </si>
  <si>
    <t xml:space="preserve">  Term loan — opening</t>
  </si>
  <si>
    <t xml:space="preserve">  Term loan — amortization</t>
  </si>
  <si>
    <t xml:space="preserve">Term loan — closing</t>
  </si>
  <si>
    <t xml:space="preserve">  Revolver — opening</t>
  </si>
  <si>
    <t xml:space="preserve">  Revolver — draw / (repay)</t>
  </si>
  <si>
    <t xml:space="preserve">Revolver — closing</t>
  </si>
  <si>
    <t xml:space="preserve">Total debt (closing)</t>
  </si>
  <si>
    <t xml:space="preserve">  Average total debt</t>
  </si>
  <si>
    <t xml:space="preserve">Interest expense</t>
  </si>
  <si>
    <t xml:space="preserve">  Cash avail. for debt service (pre-revolver)</t>
  </si>
  <si>
    <t xml:space="preserve">CREDIT METRICS</t>
  </si>
  <si>
    <t xml:space="preserve">  Net debt / EBITDA</t>
  </si>
  <si>
    <t xml:space="preserve">  EBIT interest coverage</t>
  </si>
  <si>
    <t xml:space="preserve">  Debt service coverage (EBITDA/(int+amort))</t>
  </si>
  <si>
    <t xml:space="preserve">Working Capital Schedule</t>
  </si>
  <si>
    <t xml:space="preserve">AR/Inv/AP from days metrics → net working capital feeds balance sheet.</t>
  </si>
  <si>
    <t xml:space="preserve">  Accounts receivable (DSO)</t>
  </si>
  <si>
    <t xml:space="preserve">  Inventory (DIO)</t>
  </si>
  <si>
    <t xml:space="preserve">  Accounts payable (DPO)</t>
  </si>
  <si>
    <t xml:space="preserve">Net working capital</t>
  </si>
  <si>
    <t xml:space="preserve">Change in NWC (use of cash)</t>
  </si>
  <si>
    <t xml:space="preserve">0</t>
  </si>
  <si>
    <t xml:space="preserve">DCF Valuation — FCFF</t>
  </si>
  <si>
    <t xml:space="preserve">Scenario-aware WACC, beta, g, exit multiple. TV = avg(Gordon, exit).</t>
  </si>
  <si>
    <t xml:space="preserve">WACC (active scenario)</t>
  </si>
  <si>
    <t xml:space="preserve">  Cost of equity (CAPM)</t>
  </si>
  <si>
    <t xml:space="preserve">  After-tax cost of debt</t>
  </si>
  <si>
    <t xml:space="preserve">  Equity weight</t>
  </si>
  <si>
    <t xml:space="preserve">  Debt weight</t>
  </si>
  <si>
    <t xml:space="preserve">  WACC</t>
  </si>
  <si>
    <t xml:space="preserve">UNLEVERED FREE CASH FLOW (forecast years)</t>
  </si>
  <si>
    <t xml:space="preserve">  Year</t>
  </si>
  <si>
    <t xml:space="preserve">  EBIT</t>
  </si>
  <si>
    <t xml:space="preserve">  Taxes on EBIT</t>
  </si>
  <si>
    <t xml:space="preserve">  NOPAT</t>
  </si>
  <si>
    <t xml:space="preserve">  Less: ΔNWC</t>
  </si>
  <si>
    <t xml:space="preserve">  Unlevered FCFF</t>
  </si>
  <si>
    <t xml:space="preserve">  Discount period</t>
  </si>
  <si>
    <t xml:space="preserve">  Discount factor</t>
  </si>
  <si>
    <t xml:space="preserve">  PV of FCFF</t>
  </si>
  <si>
    <t xml:space="preserve">ENTERPRISE → EQUITY VALUE</t>
  </si>
  <si>
    <t xml:space="preserve">  Sum PV explicit FCFF</t>
  </si>
  <si>
    <t xml:space="preserve">  Terminal value (Gordon)</t>
  </si>
  <si>
    <t xml:space="preserve">  Terminal value (exit mult)</t>
  </si>
  <si>
    <t xml:space="preserve">  Terminal value (used = avg)</t>
  </si>
  <si>
    <t xml:space="preserve">  PV of terminal value</t>
  </si>
  <si>
    <t xml:space="preserve">  Enterprise value</t>
  </si>
  <si>
    <t xml:space="preserve">  Less: net debt (latest)</t>
  </si>
  <si>
    <t xml:space="preserve">  Equity value</t>
  </si>
  <si>
    <t xml:space="preserve">  Shares outstanding (mm)</t>
  </si>
  <si>
    <t xml:space="preserve">  Implied value per share</t>
  </si>
  <si>
    <t xml:space="preserve">  Current price</t>
  </si>
  <si>
    <t xml:space="preserve">  Upside / (downside)</t>
  </si>
  <si>
    <t xml:space="preserve">  TV as % of EV (flag &gt;80%)</t>
  </si>
  <si>
    <t xml:space="preserve">Trading Comparables</t>
  </si>
  <si>
    <t xml:space="preserve">Peer multiples → implied value triangulation. Blue = input peer data.</t>
  </si>
  <si>
    <t xml:space="preserve">Peer / Metric</t>
  </si>
  <si>
    <t xml:space="preserve">EV/Sales</t>
  </si>
  <si>
    <t xml:space="preserve">EV/EBITDA</t>
  </si>
  <si>
    <t xml:space="preserve">P/E</t>
  </si>
  <si>
    <t xml:space="preserve">P/FCF</t>
  </si>
  <si>
    <t xml:space="preserve">Peer A</t>
  </si>
  <si>
    <t xml:space="preserve">Peer B</t>
  </si>
  <si>
    <t xml:space="preserve">Peer C</t>
  </si>
  <si>
    <t xml:space="preserve">Peer D</t>
  </si>
  <si>
    <t xml:space="preserve">Median</t>
  </si>
  <si>
    <t xml:space="preserve">IMPLIED EQUITY VALUE PER SHARE</t>
  </si>
  <si>
    <t xml:space="preserve">  From EV/Sales</t>
  </si>
  <si>
    <t xml:space="preserve">  From EV/EBITDA</t>
  </si>
  <si>
    <t xml:space="preserve">  From P/E</t>
  </si>
  <si>
    <t xml:space="preserve">  Average implied value/share</t>
  </si>
  <si>
    <t xml:space="preserve">Scenario &amp; Sensitivity</t>
  </si>
  <si>
    <t xml:space="preserve">Switch scenario on Assumptions!C9 to compare. Sensitivity grid = WACC × g.</t>
  </si>
  <si>
    <t xml:space="preserve">VALUE PER SHARE — WACC × terminal growth</t>
  </si>
  <si>
    <t xml:space="preserve">WACC \ g</t>
  </si>
  <si>
    <t xml:space="preserve">Integrity Checks</t>
  </si>
  <si>
    <t xml:space="preserve">All must read OK / 0. Agent refuses delivery otherwise.</t>
  </si>
  <si>
    <t xml:space="preserve">Check</t>
  </si>
  <si>
    <t xml:space="preserve">Result</t>
  </si>
  <si>
    <t xml:space="preserve">Balance sheet balances (max abs)</t>
  </si>
  <si>
    <t xml:space="preserve">Cash flow ties to BS (max abs)</t>
  </si>
  <si>
    <t xml:space="preserve">WACC &gt; terminal growth</t>
  </si>
  <si>
    <t xml:space="preserve">Terminal value &lt; 80% of EV</t>
  </si>
  <si>
    <t xml:space="preserve">Min interest coverage &gt; 2.0x</t>
  </si>
  <si>
    <t xml:space="preserve">Revolver non-negative all years</t>
  </si>
  <si>
    <t xml:space="preserve">Scenario selector valid (1-3)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</si>
</sst>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0.0%;\(0.0%\);\-"/>
    <numFmt numFmtId="167" formatCode="0.0"/>
    <numFmt numFmtId="168" formatCode="0.000"/>
    <numFmt numFmtId="169" formatCode="0.0\x"/>
    <numFmt numFmtId="170" formatCode="#,##0;\(#,##0\);\-"/>
    <numFmt numFmtId="171" formatCode="\$#,##0.00"/>
    <numFmt numFmtId="172" formatCode="\$#,##0;&quot;($&quot;#,##0\);\-"/>
    <numFmt numFmtId="173" formatCode="General"/>
    <numFmt numFmtId="174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C6EFCE"/>
        <bgColor rgb="FFD9E1F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2:J8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"/>
    <col collapsed="false" customWidth="true" hidden="false" outlineLevel="0" max="10" min="3" style="1" width="13"/>
  </cols>
  <sheetData>
    <row r="2" customFormat="false" ht="17.2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5" customFormat="false" ht="15" hidden="false" customHeight="true" outlineLevel="0" collapsed="false">
      <c r="B5" s="4" t="s">
        <v>2</v>
      </c>
      <c r="C5" s="5" t="n">
        <v>2023</v>
      </c>
      <c r="D5" s="5" t="n">
        <v>2024</v>
      </c>
      <c r="E5" s="5" t="n">
        <v>2025</v>
      </c>
      <c r="F5" s="5" t="n">
        <v>2026</v>
      </c>
      <c r="G5" s="5" t="n">
        <v>2027</v>
      </c>
      <c r="H5" s="5" t="n">
        <v>2028</v>
      </c>
      <c r="I5" s="5" t="n">
        <v>2029</v>
      </c>
      <c r="J5" s="5" t="n">
        <v>2030</v>
      </c>
    </row>
    <row r="6" customFormat="false" ht="15" hidden="false" customHeight="true" outlineLevel="0" collapsed="false">
      <c r="B6" s="3" t="s">
        <v>3</v>
      </c>
      <c r="C6" s="6" t="s">
        <v>4</v>
      </c>
      <c r="D6" s="6" t="s">
        <v>4</v>
      </c>
      <c r="E6" s="6" t="s">
        <v>4</v>
      </c>
      <c r="F6" s="6" t="s">
        <v>5</v>
      </c>
      <c r="G6" s="6" t="s">
        <v>5</v>
      </c>
      <c r="H6" s="6" t="s">
        <v>5</v>
      </c>
      <c r="I6" s="6" t="s">
        <v>5</v>
      </c>
      <c r="J6" s="6" t="s">
        <v>5</v>
      </c>
    </row>
    <row r="8" customFormat="false" ht="15" hidden="false" customHeight="true" outlineLevel="0" collapsed="false">
      <c r="B8" s="7" t="s">
        <v>6</v>
      </c>
      <c r="C8" s="8"/>
      <c r="D8" s="8"/>
      <c r="E8" s="8"/>
      <c r="F8" s="8"/>
      <c r="G8" s="8"/>
      <c r="H8" s="8"/>
      <c r="I8" s="8"/>
      <c r="J8" s="8"/>
    </row>
    <row r="9" customFormat="false" ht="15" hidden="false" customHeight="true" outlineLevel="0" collapsed="false">
      <c r="B9" s="4" t="s">
        <v>7</v>
      </c>
      <c r="C9" s="9" t="n">
        <v>2</v>
      </c>
      <c r="D9" s="4" t="str">
        <f aca="false">CHOOSE($C$9,"BULL","BASE","BEAR")</f>
        <v>BASE</v>
      </c>
    </row>
    <row r="12" customFormat="false" ht="15" hidden="false" customHeight="true" outlineLevel="0" collapsed="false">
      <c r="B12" s="7" t="s">
        <v>8</v>
      </c>
      <c r="C12" s="8"/>
      <c r="D12" s="8"/>
      <c r="E12" s="8"/>
      <c r="F12" s="8"/>
      <c r="G12" s="8"/>
      <c r="H12" s="8"/>
      <c r="I12" s="8"/>
      <c r="J12" s="8"/>
    </row>
    <row r="13" customFormat="false" ht="15" hidden="false" customHeight="true" outlineLevel="0" collapsed="false">
      <c r="B13" s="3" t="s">
        <v>9</v>
      </c>
    </row>
    <row r="14" customFormat="false" ht="15" hidden="false" customHeight="true" outlineLevel="0" collapsed="false">
      <c r="B14" s="10" t="s">
        <v>10</v>
      </c>
      <c r="C14" s="11"/>
      <c r="D14" s="11"/>
      <c r="E14" s="11"/>
      <c r="F14" s="11"/>
      <c r="G14" s="11"/>
      <c r="H14" s="11"/>
      <c r="I14" s="11"/>
      <c r="J14" s="11"/>
    </row>
    <row r="15" customFormat="false" ht="15" hidden="false" customHeight="true" outlineLevel="0" collapsed="false">
      <c r="B15" s="3" t="s">
        <v>11</v>
      </c>
      <c r="C15" s="1" t="s">
        <v>12</v>
      </c>
      <c r="D15" s="1" t="s">
        <v>12</v>
      </c>
      <c r="E15" s="1" t="s">
        <v>12</v>
      </c>
      <c r="F15" s="12" t="n">
        <v>0.14</v>
      </c>
      <c r="G15" s="12" t="n">
        <v>0.13</v>
      </c>
      <c r="H15" s="12" t="n">
        <v>0.12</v>
      </c>
      <c r="I15" s="12" t="n">
        <v>0.1</v>
      </c>
      <c r="J15" s="12" t="n">
        <v>0.09</v>
      </c>
    </row>
    <row r="16" customFormat="false" ht="15" hidden="false" customHeight="true" outlineLevel="0" collapsed="false">
      <c r="B16" s="3" t="s">
        <v>13</v>
      </c>
      <c r="C16" s="1" t="s">
        <v>12</v>
      </c>
      <c r="D16" s="1" t="s">
        <v>12</v>
      </c>
      <c r="E16" s="1" t="s">
        <v>12</v>
      </c>
      <c r="F16" s="12" t="n">
        <v>0.1</v>
      </c>
      <c r="G16" s="12" t="n">
        <v>0.09</v>
      </c>
      <c r="H16" s="12" t="n">
        <v>0.08</v>
      </c>
      <c r="I16" s="12" t="n">
        <v>0.07</v>
      </c>
      <c r="J16" s="12" t="n">
        <v>0.06</v>
      </c>
    </row>
    <row r="17" customFormat="false" ht="15" hidden="false" customHeight="true" outlineLevel="0" collapsed="false">
      <c r="B17" s="3" t="s">
        <v>14</v>
      </c>
      <c r="C17" s="1" t="s">
        <v>12</v>
      </c>
      <c r="D17" s="1" t="s">
        <v>12</v>
      </c>
      <c r="E17" s="1" t="s">
        <v>12</v>
      </c>
      <c r="F17" s="12" t="n">
        <v>0.05</v>
      </c>
      <c r="G17" s="12" t="n">
        <v>0.04</v>
      </c>
      <c r="H17" s="12" t="n">
        <v>0.03</v>
      </c>
      <c r="I17" s="12" t="n">
        <v>0.03</v>
      </c>
      <c r="J17" s="12" t="n">
        <v>0.02</v>
      </c>
    </row>
    <row r="18" customFormat="false" ht="15" hidden="false" customHeight="true" outlineLevel="0" collapsed="false">
      <c r="B18" s="4" t="s">
        <v>15</v>
      </c>
      <c r="C18" s="13" t="str">
        <f aca="false">IF($C$9=1,C15,IF($C$9=2,C16,C17))</f>
        <v>-</v>
      </c>
      <c r="D18" s="13" t="str">
        <f aca="false">IF($C$9=1,D15,IF($C$9=2,D16,D17))</f>
        <v>-</v>
      </c>
      <c r="E18" s="13" t="str">
        <f aca="false">IF($C$9=1,E15,IF($C$9=2,E16,E17))</f>
        <v>-</v>
      </c>
      <c r="F18" s="13" t="n">
        <f aca="false">IF($C$9=1,F15,IF($C$9=2,F16,F17))</f>
        <v>0.1</v>
      </c>
      <c r="G18" s="13" t="n">
        <f aca="false">IF($C$9=1,G15,IF($C$9=2,G16,G17))</f>
        <v>0.09</v>
      </c>
      <c r="H18" s="13" t="n">
        <f aca="false">IF($C$9=1,H15,IF($C$9=2,H16,H17))</f>
        <v>0.08</v>
      </c>
      <c r="I18" s="13" t="n">
        <f aca="false">IF($C$9=1,I15,IF($C$9=2,I16,I17))</f>
        <v>0.07</v>
      </c>
      <c r="J18" s="13" t="n">
        <f aca="false">IF($C$9=1,J15,IF($C$9=2,J16,J17))</f>
        <v>0.06</v>
      </c>
    </row>
    <row r="20" customFormat="false" ht="15" hidden="false" customHeight="true" outlineLevel="0" collapsed="false">
      <c r="B20" s="10" t="s">
        <v>16</v>
      </c>
      <c r="C20" s="11"/>
      <c r="D20" s="11"/>
      <c r="E20" s="11"/>
      <c r="F20" s="11"/>
      <c r="G20" s="11"/>
      <c r="H20" s="11"/>
      <c r="I20" s="11"/>
      <c r="J20" s="11"/>
    </row>
    <row r="21" customFormat="false" ht="15" hidden="false" customHeight="true" outlineLevel="0" collapsed="false">
      <c r="B21" s="3" t="s">
        <v>11</v>
      </c>
      <c r="C21" s="12" t="n">
        <v>0.42</v>
      </c>
      <c r="D21" s="12" t="n">
        <v>0.43</v>
      </c>
      <c r="E21" s="12" t="n">
        <v>0.44</v>
      </c>
      <c r="F21" s="12" t="n">
        <v>0.46</v>
      </c>
      <c r="G21" s="12" t="n">
        <v>0.47</v>
      </c>
      <c r="H21" s="12" t="n">
        <v>0.48</v>
      </c>
      <c r="I21" s="12" t="n">
        <v>0.48</v>
      </c>
      <c r="J21" s="12" t="n">
        <v>0.49</v>
      </c>
    </row>
    <row r="22" customFormat="false" ht="15" hidden="false" customHeight="true" outlineLevel="0" collapsed="false">
      <c r="B22" s="3" t="s">
        <v>13</v>
      </c>
      <c r="C22" s="12" t="n">
        <v>0.42</v>
      </c>
      <c r="D22" s="12" t="n">
        <v>0.43</v>
      </c>
      <c r="E22" s="12" t="n">
        <v>0.44</v>
      </c>
      <c r="F22" s="12" t="n">
        <v>0.44</v>
      </c>
      <c r="G22" s="12" t="n">
        <v>0.45</v>
      </c>
      <c r="H22" s="12" t="n">
        <v>0.45</v>
      </c>
      <c r="I22" s="12" t="n">
        <v>0.46</v>
      </c>
      <c r="J22" s="12" t="n">
        <v>0.46</v>
      </c>
    </row>
    <row r="23" customFormat="false" ht="15" hidden="false" customHeight="true" outlineLevel="0" collapsed="false">
      <c r="B23" s="3" t="s">
        <v>14</v>
      </c>
      <c r="C23" s="12" t="n">
        <v>0.42</v>
      </c>
      <c r="D23" s="12" t="n">
        <v>0.43</v>
      </c>
      <c r="E23" s="12" t="n">
        <v>0.44</v>
      </c>
      <c r="F23" s="12" t="n">
        <v>0.43</v>
      </c>
      <c r="G23" s="12" t="n">
        <v>0.42</v>
      </c>
      <c r="H23" s="12" t="n">
        <v>0.42</v>
      </c>
      <c r="I23" s="12" t="n">
        <v>0.41</v>
      </c>
      <c r="J23" s="12" t="n">
        <v>0.41</v>
      </c>
    </row>
    <row r="24" customFormat="false" ht="15" hidden="false" customHeight="true" outlineLevel="0" collapsed="false">
      <c r="B24" s="4" t="s">
        <v>15</v>
      </c>
      <c r="C24" s="13" t="n">
        <f aca="false">IF($C$9=1,C21,IF($C$9=2,C22,C23))</f>
        <v>0.42</v>
      </c>
      <c r="D24" s="13" t="n">
        <f aca="false">IF($C$9=1,D21,IF($C$9=2,D22,D23))</f>
        <v>0.43</v>
      </c>
      <c r="E24" s="13" t="n">
        <f aca="false">IF($C$9=1,E21,IF($C$9=2,E22,E23))</f>
        <v>0.44</v>
      </c>
      <c r="F24" s="13" t="n">
        <f aca="false">IF($C$9=1,F21,IF($C$9=2,F22,F23))</f>
        <v>0.44</v>
      </c>
      <c r="G24" s="13" t="n">
        <f aca="false">IF($C$9=1,G21,IF($C$9=2,G22,G23))</f>
        <v>0.45</v>
      </c>
      <c r="H24" s="13" t="n">
        <f aca="false">IF($C$9=1,H21,IF($C$9=2,H22,H23))</f>
        <v>0.45</v>
      </c>
      <c r="I24" s="13" t="n">
        <f aca="false">IF($C$9=1,I21,IF($C$9=2,I22,I23))</f>
        <v>0.46</v>
      </c>
      <c r="J24" s="13" t="n">
        <f aca="false">IF($C$9=1,J21,IF($C$9=2,J22,J23))</f>
        <v>0.46</v>
      </c>
    </row>
    <row r="26" customFormat="false" ht="15" hidden="false" customHeight="true" outlineLevel="0" collapsed="false">
      <c r="B26" s="10" t="s">
        <v>17</v>
      </c>
      <c r="C26" s="11"/>
      <c r="D26" s="11"/>
      <c r="E26" s="11"/>
      <c r="F26" s="11"/>
      <c r="G26" s="11"/>
      <c r="H26" s="11"/>
      <c r="I26" s="11"/>
      <c r="J26" s="11"/>
    </row>
    <row r="27" customFormat="false" ht="15" hidden="false" customHeight="true" outlineLevel="0" collapsed="false">
      <c r="B27" s="3" t="s">
        <v>11</v>
      </c>
      <c r="C27" s="12" t="n">
        <v>0.18</v>
      </c>
      <c r="D27" s="12" t="n">
        <v>0.18</v>
      </c>
      <c r="E27" s="12" t="n">
        <v>0.17</v>
      </c>
      <c r="F27" s="12" t="n">
        <v>0.16</v>
      </c>
      <c r="G27" s="12" t="n">
        <v>0.15</v>
      </c>
      <c r="H27" s="12" t="n">
        <v>0.15</v>
      </c>
      <c r="I27" s="12" t="n">
        <v>0.14</v>
      </c>
      <c r="J27" s="12" t="n">
        <v>0.14</v>
      </c>
    </row>
    <row r="28" customFormat="false" ht="15" hidden="false" customHeight="true" outlineLevel="0" collapsed="false">
      <c r="B28" s="3" t="s">
        <v>13</v>
      </c>
      <c r="C28" s="12" t="n">
        <v>0.18</v>
      </c>
      <c r="D28" s="12" t="n">
        <v>0.18</v>
      </c>
      <c r="E28" s="12" t="n">
        <v>0.17</v>
      </c>
      <c r="F28" s="12" t="n">
        <v>0.17</v>
      </c>
      <c r="G28" s="12" t="n">
        <v>0.17</v>
      </c>
      <c r="H28" s="12" t="n">
        <v>0.16</v>
      </c>
      <c r="I28" s="12" t="n">
        <v>0.16</v>
      </c>
      <c r="J28" s="12" t="n">
        <v>0.16</v>
      </c>
    </row>
    <row r="29" customFormat="false" ht="15" hidden="false" customHeight="true" outlineLevel="0" collapsed="false">
      <c r="B29" s="3" t="s">
        <v>14</v>
      </c>
      <c r="C29" s="12" t="n">
        <v>0.18</v>
      </c>
      <c r="D29" s="12" t="n">
        <v>0.18</v>
      </c>
      <c r="E29" s="12" t="n">
        <v>0.17</v>
      </c>
      <c r="F29" s="12" t="n">
        <v>0.18</v>
      </c>
      <c r="G29" s="12" t="n">
        <v>0.18</v>
      </c>
      <c r="H29" s="12" t="n">
        <v>0.18</v>
      </c>
      <c r="I29" s="12" t="n">
        <v>0.18</v>
      </c>
      <c r="J29" s="12" t="n">
        <v>0.18</v>
      </c>
    </row>
    <row r="30" customFormat="false" ht="15" hidden="false" customHeight="true" outlineLevel="0" collapsed="false">
      <c r="B30" s="4" t="s">
        <v>15</v>
      </c>
      <c r="C30" s="13" t="n">
        <f aca="false">IF($C$9=1,C27,IF($C$9=2,C28,C29))</f>
        <v>0.18</v>
      </c>
      <c r="D30" s="13" t="n">
        <f aca="false">IF($C$9=1,D27,IF($C$9=2,D28,D29))</f>
        <v>0.18</v>
      </c>
      <c r="E30" s="13" t="n">
        <f aca="false">IF($C$9=1,E27,IF($C$9=2,E28,E29))</f>
        <v>0.17</v>
      </c>
      <c r="F30" s="13" t="n">
        <f aca="false">IF($C$9=1,F27,IF($C$9=2,F28,F29))</f>
        <v>0.17</v>
      </c>
      <c r="G30" s="13" t="n">
        <f aca="false">IF($C$9=1,G27,IF($C$9=2,G28,G29))</f>
        <v>0.17</v>
      </c>
      <c r="H30" s="13" t="n">
        <f aca="false">IF($C$9=1,H27,IF($C$9=2,H28,H29))</f>
        <v>0.16</v>
      </c>
      <c r="I30" s="13" t="n">
        <f aca="false">IF($C$9=1,I27,IF($C$9=2,I28,I29))</f>
        <v>0.16</v>
      </c>
      <c r="J30" s="13" t="n">
        <f aca="false">IF($C$9=1,J27,IF($C$9=2,J28,J29))</f>
        <v>0.16</v>
      </c>
    </row>
    <row r="32" customFormat="false" ht="15" hidden="false" customHeight="true" outlineLevel="0" collapsed="false">
      <c r="B32" s="10" t="s">
        <v>18</v>
      </c>
      <c r="C32" s="11"/>
      <c r="D32" s="11"/>
      <c r="E32" s="11"/>
      <c r="F32" s="11"/>
      <c r="G32" s="11"/>
      <c r="H32" s="11"/>
      <c r="I32" s="11"/>
      <c r="J32" s="11"/>
    </row>
    <row r="33" customFormat="false" ht="15" hidden="false" customHeight="true" outlineLevel="0" collapsed="false">
      <c r="B33" s="3" t="s">
        <v>11</v>
      </c>
      <c r="C33" s="12" t="n">
        <v>0.08</v>
      </c>
      <c r="D33" s="12" t="n">
        <v>0.08</v>
      </c>
      <c r="E33" s="12" t="n">
        <v>0.08</v>
      </c>
      <c r="F33" s="12" t="n">
        <v>0.08</v>
      </c>
      <c r="G33" s="12" t="n">
        <v>0.08</v>
      </c>
      <c r="H33" s="12" t="n">
        <v>0.08</v>
      </c>
      <c r="I33" s="12" t="n">
        <v>0.08</v>
      </c>
      <c r="J33" s="12" t="n">
        <v>0.08</v>
      </c>
    </row>
    <row r="34" customFormat="false" ht="15" hidden="false" customHeight="true" outlineLevel="0" collapsed="false">
      <c r="B34" s="3" t="s">
        <v>13</v>
      </c>
      <c r="C34" s="12" t="n">
        <v>0.08</v>
      </c>
      <c r="D34" s="12" t="n">
        <v>0.08</v>
      </c>
      <c r="E34" s="12" t="n">
        <v>0.08</v>
      </c>
      <c r="F34" s="12" t="n">
        <v>0.08</v>
      </c>
      <c r="G34" s="12" t="n">
        <v>0.08</v>
      </c>
      <c r="H34" s="12" t="n">
        <v>0.08</v>
      </c>
      <c r="I34" s="12" t="n">
        <v>0.08</v>
      </c>
      <c r="J34" s="12" t="n">
        <v>0.08</v>
      </c>
    </row>
    <row r="35" customFormat="false" ht="15" hidden="false" customHeight="true" outlineLevel="0" collapsed="false">
      <c r="B35" s="3" t="s">
        <v>14</v>
      </c>
      <c r="C35" s="12" t="n">
        <v>0.08</v>
      </c>
      <c r="D35" s="12" t="n">
        <v>0.08</v>
      </c>
      <c r="E35" s="12" t="n">
        <v>0.08</v>
      </c>
      <c r="F35" s="12" t="n">
        <v>0.09</v>
      </c>
      <c r="G35" s="12" t="n">
        <v>0.09</v>
      </c>
      <c r="H35" s="12" t="n">
        <v>0.09</v>
      </c>
      <c r="I35" s="12" t="n">
        <v>0.09</v>
      </c>
      <c r="J35" s="12" t="n">
        <v>0.09</v>
      </c>
    </row>
    <row r="36" customFormat="false" ht="15" hidden="false" customHeight="true" outlineLevel="0" collapsed="false">
      <c r="B36" s="4" t="s">
        <v>15</v>
      </c>
      <c r="C36" s="13" t="n">
        <f aca="false">IF($C$9=1,C33,IF($C$9=2,C34,C35))</f>
        <v>0.08</v>
      </c>
      <c r="D36" s="13" t="n">
        <f aca="false">IF($C$9=1,D33,IF($C$9=2,D34,D35))</f>
        <v>0.08</v>
      </c>
      <c r="E36" s="13" t="n">
        <f aca="false">IF($C$9=1,E33,IF($C$9=2,E34,E35))</f>
        <v>0.08</v>
      </c>
      <c r="F36" s="13" t="n">
        <f aca="false">IF($C$9=1,F33,IF($C$9=2,F34,F35))</f>
        <v>0.08</v>
      </c>
      <c r="G36" s="13" t="n">
        <f aca="false">IF($C$9=1,G33,IF($C$9=2,G34,G35))</f>
        <v>0.08</v>
      </c>
      <c r="H36" s="13" t="n">
        <f aca="false">IF($C$9=1,H33,IF($C$9=2,H34,H35))</f>
        <v>0.08</v>
      </c>
      <c r="I36" s="13" t="n">
        <f aca="false">IF($C$9=1,I33,IF($C$9=2,I34,I35))</f>
        <v>0.08</v>
      </c>
      <c r="J36" s="13" t="n">
        <f aca="false">IF($C$9=1,J33,IF($C$9=2,J34,J35))</f>
        <v>0.08</v>
      </c>
    </row>
    <row r="38" customFormat="false" ht="15" hidden="false" customHeight="true" outlineLevel="0" collapsed="false">
      <c r="B38" s="10" t="s">
        <v>19</v>
      </c>
      <c r="C38" s="11"/>
      <c r="D38" s="11"/>
      <c r="E38" s="11"/>
      <c r="F38" s="11"/>
      <c r="G38" s="11"/>
      <c r="H38" s="11"/>
      <c r="I38" s="11"/>
      <c r="J38" s="11"/>
    </row>
    <row r="39" customFormat="false" ht="15" hidden="false" customHeight="true" outlineLevel="0" collapsed="false">
      <c r="B39" s="3" t="s">
        <v>11</v>
      </c>
      <c r="C39" s="12" t="n">
        <v>0.21</v>
      </c>
      <c r="D39" s="12" t="n">
        <v>0.21</v>
      </c>
      <c r="E39" s="12" t="n">
        <v>0.21</v>
      </c>
      <c r="F39" s="12" t="n">
        <v>0.21</v>
      </c>
      <c r="G39" s="12" t="n">
        <v>0.21</v>
      </c>
      <c r="H39" s="12" t="n">
        <v>0.21</v>
      </c>
      <c r="I39" s="12" t="n">
        <v>0.21</v>
      </c>
      <c r="J39" s="12" t="n">
        <v>0.21</v>
      </c>
    </row>
    <row r="40" customFormat="false" ht="15" hidden="false" customHeight="true" outlineLevel="0" collapsed="false">
      <c r="B40" s="3" t="s">
        <v>13</v>
      </c>
      <c r="C40" s="12" t="n">
        <v>0.21</v>
      </c>
      <c r="D40" s="12" t="n">
        <v>0.21</v>
      </c>
      <c r="E40" s="12" t="n">
        <v>0.21</v>
      </c>
      <c r="F40" s="12" t="n">
        <v>0.21</v>
      </c>
      <c r="G40" s="12" t="n">
        <v>0.21</v>
      </c>
      <c r="H40" s="12" t="n">
        <v>0.21</v>
      </c>
      <c r="I40" s="12" t="n">
        <v>0.21</v>
      </c>
      <c r="J40" s="12" t="n">
        <v>0.21</v>
      </c>
    </row>
    <row r="41" customFormat="false" ht="15" hidden="false" customHeight="true" outlineLevel="0" collapsed="false">
      <c r="B41" s="3" t="s">
        <v>14</v>
      </c>
      <c r="C41" s="12" t="n">
        <v>0.21</v>
      </c>
      <c r="D41" s="12" t="n">
        <v>0.21</v>
      </c>
      <c r="E41" s="12" t="n">
        <v>0.21</v>
      </c>
      <c r="F41" s="12" t="n">
        <v>0.21</v>
      </c>
      <c r="G41" s="12" t="n">
        <v>0.21</v>
      </c>
      <c r="H41" s="12" t="n">
        <v>0.21</v>
      </c>
      <c r="I41" s="12" t="n">
        <v>0.21</v>
      </c>
      <c r="J41" s="12" t="n">
        <v>0.21</v>
      </c>
    </row>
    <row r="42" customFormat="false" ht="15" hidden="false" customHeight="true" outlineLevel="0" collapsed="false">
      <c r="B42" s="4" t="s">
        <v>15</v>
      </c>
      <c r="C42" s="13" t="n">
        <f aca="false">IF($C$9=1,C39,IF($C$9=2,C40,C41))</f>
        <v>0.21</v>
      </c>
      <c r="D42" s="13" t="n">
        <f aca="false">IF($C$9=1,D39,IF($C$9=2,D40,D41))</f>
        <v>0.21</v>
      </c>
      <c r="E42" s="13" t="n">
        <f aca="false">IF($C$9=1,E39,IF($C$9=2,E40,E41))</f>
        <v>0.21</v>
      </c>
      <c r="F42" s="13" t="n">
        <f aca="false">IF($C$9=1,F39,IF($C$9=2,F40,F41))</f>
        <v>0.21</v>
      </c>
      <c r="G42" s="13" t="n">
        <f aca="false">IF($C$9=1,G39,IF($C$9=2,G40,G41))</f>
        <v>0.21</v>
      </c>
      <c r="H42" s="13" t="n">
        <f aca="false">IF($C$9=1,H39,IF($C$9=2,H40,H41))</f>
        <v>0.21</v>
      </c>
      <c r="I42" s="13" t="n">
        <f aca="false">IF($C$9=1,I39,IF($C$9=2,I40,I41))</f>
        <v>0.21</v>
      </c>
      <c r="J42" s="13" t="n">
        <f aca="false">IF($C$9=1,J39,IF($C$9=2,J40,J41))</f>
        <v>0.21</v>
      </c>
    </row>
    <row r="44" customFormat="false" ht="15" hidden="false" customHeight="true" outlineLevel="0" collapsed="false">
      <c r="B44" s="10" t="s">
        <v>20</v>
      </c>
      <c r="C44" s="11"/>
      <c r="D44" s="11"/>
      <c r="E44" s="11"/>
      <c r="F44" s="11"/>
      <c r="G44" s="11"/>
      <c r="H44" s="11"/>
      <c r="I44" s="11"/>
      <c r="J44" s="11"/>
    </row>
    <row r="45" customFormat="false" ht="15" hidden="false" customHeight="true" outlineLevel="0" collapsed="false">
      <c r="B45" s="3" t="s">
        <v>11</v>
      </c>
      <c r="C45" s="12" t="n">
        <v>0.15</v>
      </c>
      <c r="D45" s="12" t="n">
        <v>0.15</v>
      </c>
      <c r="E45" s="12" t="n">
        <v>0.15</v>
      </c>
      <c r="F45" s="12" t="n">
        <v>0.15</v>
      </c>
      <c r="G45" s="12" t="n">
        <v>0.15</v>
      </c>
      <c r="H45" s="12" t="n">
        <v>0.15</v>
      </c>
      <c r="I45" s="12" t="n">
        <v>0.15</v>
      </c>
      <c r="J45" s="12" t="n">
        <v>0.15</v>
      </c>
    </row>
    <row r="46" customFormat="false" ht="15" hidden="false" customHeight="true" outlineLevel="0" collapsed="false">
      <c r="B46" s="3" t="s">
        <v>13</v>
      </c>
      <c r="C46" s="12" t="n">
        <v>0.2</v>
      </c>
      <c r="D46" s="12" t="n">
        <v>0.2</v>
      </c>
      <c r="E46" s="12" t="n">
        <v>0.2</v>
      </c>
      <c r="F46" s="12" t="n">
        <v>0.2</v>
      </c>
      <c r="G46" s="12" t="n">
        <v>0.2</v>
      </c>
      <c r="H46" s="12" t="n">
        <v>0.2</v>
      </c>
      <c r="I46" s="12" t="n">
        <v>0.2</v>
      </c>
      <c r="J46" s="12" t="n">
        <v>0.2</v>
      </c>
    </row>
    <row r="47" customFormat="false" ht="15" hidden="false" customHeight="true" outlineLevel="0" collapsed="false">
      <c r="B47" s="3" t="s">
        <v>14</v>
      </c>
      <c r="C47" s="12" t="n">
        <v>0.25</v>
      </c>
      <c r="D47" s="12" t="n">
        <v>0.25</v>
      </c>
      <c r="E47" s="12" t="n">
        <v>0.25</v>
      </c>
      <c r="F47" s="12" t="n">
        <v>0.25</v>
      </c>
      <c r="G47" s="12" t="n">
        <v>0.25</v>
      </c>
      <c r="H47" s="12" t="n">
        <v>0.25</v>
      </c>
      <c r="I47" s="12" t="n">
        <v>0.25</v>
      </c>
      <c r="J47" s="12" t="n">
        <v>0.25</v>
      </c>
    </row>
    <row r="48" customFormat="false" ht="15" hidden="false" customHeight="true" outlineLevel="0" collapsed="false">
      <c r="B48" s="4" t="s">
        <v>15</v>
      </c>
      <c r="C48" s="13" t="n">
        <f aca="false">IF($C$9=1,C45,IF($C$9=2,C46,C47))</f>
        <v>0.2</v>
      </c>
      <c r="D48" s="13" t="n">
        <f aca="false">IF($C$9=1,D45,IF($C$9=2,D46,D47))</f>
        <v>0.2</v>
      </c>
      <c r="E48" s="13" t="n">
        <f aca="false">IF($C$9=1,E45,IF($C$9=2,E46,E47))</f>
        <v>0.2</v>
      </c>
      <c r="F48" s="13" t="n">
        <f aca="false">IF($C$9=1,F45,IF($C$9=2,F46,F47))</f>
        <v>0.2</v>
      </c>
      <c r="G48" s="13" t="n">
        <f aca="false">IF($C$9=1,G45,IF($C$9=2,G46,G47))</f>
        <v>0.2</v>
      </c>
      <c r="H48" s="13" t="n">
        <f aca="false">IF($C$9=1,H45,IF($C$9=2,H46,H47))</f>
        <v>0.2</v>
      </c>
      <c r="I48" s="13" t="n">
        <f aca="false">IF($C$9=1,I45,IF($C$9=2,I46,I47))</f>
        <v>0.2</v>
      </c>
      <c r="J48" s="13" t="n">
        <f aca="false">IF($C$9=1,J45,IF($C$9=2,J46,J47))</f>
        <v>0.2</v>
      </c>
    </row>
    <row r="50" customFormat="false" ht="15" hidden="false" customHeight="true" outlineLevel="0" collapsed="false">
      <c r="B50" s="7" t="s">
        <v>21</v>
      </c>
      <c r="C50" s="8"/>
      <c r="D50" s="8"/>
      <c r="E50" s="8"/>
      <c r="F50" s="8"/>
      <c r="G50" s="8"/>
      <c r="H50" s="8"/>
      <c r="I50" s="8"/>
      <c r="J50" s="8"/>
    </row>
    <row r="51" customFormat="false" ht="15" hidden="false" customHeight="true" outlineLevel="0" collapsed="false">
      <c r="B51" s="14" t="s">
        <v>22</v>
      </c>
      <c r="C51" s="15" t="n">
        <v>45</v>
      </c>
      <c r="D51" s="15" t="n">
        <v>45</v>
      </c>
      <c r="E51" s="15" t="n">
        <v>45</v>
      </c>
      <c r="F51" s="15" t="n">
        <v>45</v>
      </c>
      <c r="G51" s="15" t="n">
        <v>45</v>
      </c>
      <c r="H51" s="15" t="n">
        <v>45</v>
      </c>
      <c r="I51" s="15" t="n">
        <v>45</v>
      </c>
      <c r="J51" s="15" t="n">
        <v>45</v>
      </c>
    </row>
    <row r="52" customFormat="false" ht="15" hidden="false" customHeight="true" outlineLevel="0" collapsed="false">
      <c r="B52" s="14" t="s">
        <v>23</v>
      </c>
      <c r="C52" s="15" t="n">
        <v>60</v>
      </c>
      <c r="D52" s="15" t="n">
        <v>60</v>
      </c>
      <c r="E52" s="15" t="n">
        <v>60</v>
      </c>
      <c r="F52" s="15" t="n">
        <v>60</v>
      </c>
      <c r="G52" s="15" t="n">
        <v>60</v>
      </c>
      <c r="H52" s="15" t="n">
        <v>60</v>
      </c>
      <c r="I52" s="15" t="n">
        <v>60</v>
      </c>
      <c r="J52" s="15" t="n">
        <v>60</v>
      </c>
    </row>
    <row r="53" customFormat="false" ht="15" hidden="false" customHeight="true" outlineLevel="0" collapsed="false">
      <c r="B53" s="14" t="s">
        <v>24</v>
      </c>
      <c r="C53" s="15" t="n">
        <v>40</v>
      </c>
      <c r="D53" s="15" t="n">
        <v>40</v>
      </c>
      <c r="E53" s="15" t="n">
        <v>40</v>
      </c>
      <c r="F53" s="15" t="n">
        <v>40</v>
      </c>
      <c r="G53" s="15" t="n">
        <v>40</v>
      </c>
      <c r="H53" s="15" t="n">
        <v>40</v>
      </c>
      <c r="I53" s="15" t="n">
        <v>40</v>
      </c>
      <c r="J53" s="15" t="n">
        <v>40</v>
      </c>
    </row>
    <row r="54" customFormat="false" ht="15" hidden="false" customHeight="true" outlineLevel="0" collapsed="false">
      <c r="B54" s="14" t="s">
        <v>25</v>
      </c>
      <c r="C54" s="12" t="n">
        <v>0.05</v>
      </c>
      <c r="D54" s="12" t="n">
        <v>0.05</v>
      </c>
      <c r="E54" s="12" t="n">
        <v>0.05</v>
      </c>
      <c r="F54" s="12" t="n">
        <v>0.05</v>
      </c>
      <c r="G54" s="12" t="n">
        <v>0.05</v>
      </c>
      <c r="H54" s="12" t="n">
        <v>0.05</v>
      </c>
      <c r="I54" s="12" t="n">
        <v>0.05</v>
      </c>
      <c r="J54" s="12" t="n">
        <v>0.05</v>
      </c>
    </row>
    <row r="55" customFormat="false" ht="15" hidden="false" customHeight="true" outlineLevel="0" collapsed="false">
      <c r="B55" s="10" t="s">
        <v>26</v>
      </c>
      <c r="C55" s="11"/>
      <c r="D55" s="11"/>
      <c r="E55" s="11"/>
      <c r="F55" s="11"/>
      <c r="G55" s="11"/>
      <c r="H55" s="11"/>
      <c r="I55" s="11"/>
      <c r="J55" s="11"/>
    </row>
    <row r="56" customFormat="false" ht="15" hidden="false" customHeight="true" outlineLevel="0" collapsed="false">
      <c r="B56" s="3" t="s">
        <v>11</v>
      </c>
      <c r="C56" s="12" t="n">
        <v>0.05</v>
      </c>
      <c r="D56" s="12" t="n">
        <v>0.05</v>
      </c>
      <c r="E56" s="12" t="n">
        <v>0.05</v>
      </c>
      <c r="F56" s="12" t="n">
        <v>0.05</v>
      </c>
      <c r="G56" s="12" t="n">
        <v>0.05</v>
      </c>
      <c r="H56" s="12" t="n">
        <v>0.05</v>
      </c>
      <c r="I56" s="12" t="n">
        <v>0.05</v>
      </c>
      <c r="J56" s="12" t="n">
        <v>0.05</v>
      </c>
    </row>
    <row r="57" customFormat="false" ht="15" hidden="false" customHeight="true" outlineLevel="0" collapsed="false">
      <c r="B57" s="3" t="s">
        <v>13</v>
      </c>
      <c r="C57" s="12" t="n">
        <v>0.06</v>
      </c>
      <c r="D57" s="12" t="n">
        <v>0.06</v>
      </c>
      <c r="E57" s="12" t="n">
        <v>0.06</v>
      </c>
      <c r="F57" s="12" t="n">
        <v>0.06</v>
      </c>
      <c r="G57" s="12" t="n">
        <v>0.06</v>
      </c>
      <c r="H57" s="12" t="n">
        <v>0.06</v>
      </c>
      <c r="I57" s="12" t="n">
        <v>0.06</v>
      </c>
      <c r="J57" s="12" t="n">
        <v>0.06</v>
      </c>
    </row>
    <row r="58" customFormat="false" ht="15" hidden="false" customHeight="true" outlineLevel="0" collapsed="false">
      <c r="B58" s="3" t="s">
        <v>14</v>
      </c>
      <c r="C58" s="12" t="n">
        <v>0.07</v>
      </c>
      <c r="D58" s="12" t="n">
        <v>0.07</v>
      </c>
      <c r="E58" s="12" t="n">
        <v>0.07</v>
      </c>
      <c r="F58" s="12" t="n">
        <v>0.07</v>
      </c>
      <c r="G58" s="12" t="n">
        <v>0.07</v>
      </c>
      <c r="H58" s="12" t="n">
        <v>0.07</v>
      </c>
      <c r="I58" s="12" t="n">
        <v>0.07</v>
      </c>
      <c r="J58" s="12" t="n">
        <v>0.07</v>
      </c>
    </row>
    <row r="59" customFormat="false" ht="15" hidden="false" customHeight="true" outlineLevel="0" collapsed="false">
      <c r="B59" s="4" t="s">
        <v>15</v>
      </c>
      <c r="C59" s="16" t="n">
        <f aca="false">IF($C$9=1,C56,IF($C$9=2,C57,C58))</f>
        <v>0.06</v>
      </c>
      <c r="D59" s="16" t="n">
        <f aca="false">IF($C$9=1,D56,IF($C$9=2,D57,D58))</f>
        <v>0.06</v>
      </c>
      <c r="E59" s="16" t="n">
        <f aca="false">IF($C$9=1,E56,IF($C$9=2,E57,E58))</f>
        <v>0.06</v>
      </c>
      <c r="F59" s="16" t="n">
        <f aca="false">IF($C$9=1,F56,IF($C$9=2,F57,F58))</f>
        <v>0.06</v>
      </c>
      <c r="G59" s="16" t="n">
        <f aca="false">IF($C$9=1,G56,IF($C$9=2,G57,G58))</f>
        <v>0.06</v>
      </c>
      <c r="H59" s="16" t="n">
        <f aca="false">IF($C$9=1,H56,IF($C$9=2,H57,H58))</f>
        <v>0.06</v>
      </c>
      <c r="I59" s="16" t="n">
        <f aca="false">IF($C$9=1,I56,IF($C$9=2,I57,I58))</f>
        <v>0.06</v>
      </c>
      <c r="J59" s="16" t="n">
        <f aca="false">IF($C$9=1,J56,IF($C$9=2,J57,J58))</f>
        <v>0.06</v>
      </c>
    </row>
    <row r="62" customFormat="false" ht="15" hidden="false" customHeight="true" outlineLevel="0" collapsed="false">
      <c r="B62" s="7" t="s">
        <v>27</v>
      </c>
      <c r="C62" s="17" t="s">
        <v>28</v>
      </c>
      <c r="D62" s="17" t="s">
        <v>29</v>
      </c>
      <c r="E62" s="17" t="s">
        <v>30</v>
      </c>
      <c r="F62" s="7" t="s">
        <v>31</v>
      </c>
      <c r="G62" s="8"/>
      <c r="H62" s="8"/>
      <c r="I62" s="8"/>
      <c r="J62" s="8"/>
    </row>
    <row r="63" customFormat="false" ht="15" hidden="false" customHeight="true" outlineLevel="0" collapsed="false">
      <c r="B63" s="14" t="s">
        <v>32</v>
      </c>
      <c r="C63" s="12" t="n">
        <v>0.03</v>
      </c>
      <c r="D63" s="12" t="n">
        <v>0.025</v>
      </c>
      <c r="E63" s="12" t="n">
        <v>0.02</v>
      </c>
      <c r="F63" s="18" t="n">
        <f aca="false">IF($C$9=1,C63,IF($C$9=2,D63,E63))</f>
        <v>0.025</v>
      </c>
    </row>
    <row r="64" customFormat="false" ht="15" hidden="false" customHeight="true" outlineLevel="0" collapsed="false">
      <c r="B64" s="14" t="s">
        <v>33</v>
      </c>
      <c r="C64" s="12" t="n">
        <v>0.04</v>
      </c>
      <c r="D64" s="12" t="n">
        <v>0.0423</v>
      </c>
      <c r="E64" s="12" t="n">
        <v>0.046</v>
      </c>
      <c r="F64" s="18" t="n">
        <f aca="false">IF($C$9=1,C64,IF($C$9=2,D64,E64))</f>
        <v>0.0423</v>
      </c>
    </row>
    <row r="65" customFormat="false" ht="15" hidden="false" customHeight="true" outlineLevel="0" collapsed="false">
      <c r="B65" s="14" t="s">
        <v>34</v>
      </c>
      <c r="C65" s="19" t="n">
        <v>1</v>
      </c>
      <c r="D65" s="19" t="n">
        <v>1.1</v>
      </c>
      <c r="E65" s="19" t="n">
        <v>1.25</v>
      </c>
      <c r="F65" s="20" t="n">
        <f aca="false">IF($C$9=1,C65,IF($C$9=2,D65,E65))</f>
        <v>1.1</v>
      </c>
    </row>
    <row r="66" customFormat="false" ht="15" hidden="false" customHeight="true" outlineLevel="0" collapsed="false">
      <c r="B66" s="14" t="s">
        <v>35</v>
      </c>
      <c r="C66" s="21" t="n">
        <v>14</v>
      </c>
      <c r="D66" s="21" t="n">
        <v>12</v>
      </c>
      <c r="E66" s="21" t="n">
        <v>10</v>
      </c>
      <c r="F66" s="22" t="n">
        <f aca="false">IF($C$9=1,C66,IF($C$9=2,D66,E66))</f>
        <v>12</v>
      </c>
    </row>
    <row r="68" customFormat="false" ht="15" hidden="false" customHeight="true" outlineLevel="0" collapsed="false">
      <c r="B68" s="7" t="s">
        <v>36</v>
      </c>
      <c r="C68" s="8"/>
      <c r="D68" s="8"/>
      <c r="E68" s="8"/>
      <c r="F68" s="8"/>
      <c r="G68" s="8"/>
      <c r="H68" s="8"/>
      <c r="I68" s="8"/>
      <c r="J68" s="8"/>
    </row>
    <row r="69" customFormat="false" ht="15" hidden="false" customHeight="true" outlineLevel="0" collapsed="false">
      <c r="B69" s="14" t="s">
        <v>37</v>
      </c>
      <c r="C69" s="12" t="n">
        <v>0.0424</v>
      </c>
    </row>
    <row r="70" customFormat="false" ht="15" hidden="false" customHeight="true" outlineLevel="0" collapsed="false">
      <c r="B70" s="14" t="s">
        <v>38</v>
      </c>
      <c r="C70" s="12" t="n">
        <v>0.05</v>
      </c>
    </row>
    <row r="71" customFormat="false" ht="15" hidden="false" customHeight="true" outlineLevel="0" collapsed="false">
      <c r="B71" s="14" t="s">
        <v>39</v>
      </c>
      <c r="C71" s="12" t="n">
        <v>0.2</v>
      </c>
    </row>
    <row r="72" customFormat="false" ht="15" hidden="false" customHeight="true" outlineLevel="0" collapsed="false">
      <c r="B72" s="14" t="s">
        <v>40</v>
      </c>
      <c r="C72" s="23" t="n">
        <v>1</v>
      </c>
    </row>
    <row r="73" customFormat="false" ht="15" hidden="false" customHeight="true" outlineLevel="0" collapsed="false">
      <c r="B73" s="14" t="s">
        <v>41</v>
      </c>
      <c r="C73" s="9" t="n">
        <v>0</v>
      </c>
    </row>
    <row r="75" customFormat="false" ht="15" hidden="false" customHeight="true" outlineLevel="0" collapsed="false">
      <c r="B75" s="7" t="s">
        <v>42</v>
      </c>
      <c r="C75" s="8"/>
      <c r="D75" s="8"/>
      <c r="E75" s="8"/>
      <c r="F75" s="8"/>
      <c r="G75" s="8"/>
      <c r="H75" s="8"/>
      <c r="I75" s="8"/>
      <c r="J75" s="8"/>
    </row>
    <row r="76" customFormat="false" ht="15" hidden="false" customHeight="true" outlineLevel="0" collapsed="false">
      <c r="B76" s="14" t="s">
        <v>43</v>
      </c>
      <c r="C76" s="24" t="n">
        <v>1000</v>
      </c>
    </row>
    <row r="77" customFormat="false" ht="15" hidden="false" customHeight="true" outlineLevel="0" collapsed="false">
      <c r="B77" s="14" t="s">
        <v>44</v>
      </c>
      <c r="C77" s="25" t="n">
        <v>50</v>
      </c>
    </row>
    <row r="78" customFormat="false" ht="15" hidden="false" customHeight="true" outlineLevel="0" collapsed="false">
      <c r="B78" s="14" t="s">
        <v>45</v>
      </c>
      <c r="C78" s="26" t="n">
        <v>3000</v>
      </c>
    </row>
    <row r="79" customFormat="false" ht="15" hidden="false" customHeight="true" outlineLevel="0" collapsed="false">
      <c r="B79" s="14" t="s">
        <v>46</v>
      </c>
      <c r="C79" s="26" t="n">
        <v>10000</v>
      </c>
      <c r="D79" s="26" t="n">
        <v>11000</v>
      </c>
      <c r="E79" s="26" t="n">
        <v>12000</v>
      </c>
    </row>
    <row r="80" customFormat="false" ht="15" hidden="false" customHeight="true" outlineLevel="0" collapsed="false">
      <c r="B80" s="14" t="s">
        <v>47</v>
      </c>
      <c r="C80" s="26" t="n">
        <v>5800</v>
      </c>
      <c r="D80" s="26" t="n">
        <v>6270</v>
      </c>
      <c r="E80" s="26" t="n">
        <v>6720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B2:J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10" min="3" style="1" width="13"/>
  </cols>
  <sheetData>
    <row r="2" customFormat="false" ht="17.25" hidden="false" customHeight="true" outlineLevel="0" collapsed="false">
      <c r="B2" s="2" t="s">
        <v>48</v>
      </c>
    </row>
    <row r="3" customFormat="false" ht="15" hidden="false" customHeight="true" outlineLevel="0" collapsed="false">
      <c r="B3" s="3" t="s">
        <v>49</v>
      </c>
    </row>
    <row r="5" customFormat="false" ht="15" hidden="false" customHeight="true" outlineLevel="0" collapsed="false">
      <c r="B5" s="3" t="s">
        <v>50</v>
      </c>
      <c r="C5" s="27" t="n">
        <f aca="false">Assumptions!C$5</f>
        <v>2023</v>
      </c>
      <c r="D5" s="27" t="n">
        <f aca="false">Assumptions!D$5</f>
        <v>2024</v>
      </c>
      <c r="E5" s="27" t="n">
        <f aca="false">Assumptions!E$5</f>
        <v>2025</v>
      </c>
      <c r="F5" s="27" t="n">
        <f aca="false">Assumptions!F$5</f>
        <v>2026</v>
      </c>
      <c r="G5" s="27" t="n">
        <f aca="false">Assumptions!G$5</f>
        <v>2027</v>
      </c>
      <c r="H5" s="27" t="n">
        <f aca="false">Assumptions!H$5</f>
        <v>2028</v>
      </c>
      <c r="I5" s="27" t="n">
        <f aca="false">Assumptions!I$5</f>
        <v>2029</v>
      </c>
      <c r="J5" s="27" t="n">
        <f aca="false">Assumptions!J$5</f>
        <v>2030</v>
      </c>
    </row>
    <row r="7" customFormat="false" ht="15" hidden="false" customHeight="true" outlineLevel="0" collapsed="false">
      <c r="B7" s="4" t="s">
        <v>51</v>
      </c>
      <c r="C7" s="28" t="n">
        <f aca="false">Assumptions!C79</f>
        <v>10000</v>
      </c>
      <c r="D7" s="28" t="n">
        <f aca="false">Assumptions!D79</f>
        <v>11000</v>
      </c>
      <c r="E7" s="28" t="n">
        <f aca="false">Assumptions!E79</f>
        <v>12000</v>
      </c>
      <c r="F7" s="29" t="n">
        <f aca="false">E7*(1+Assumptions!$F$18)</f>
        <v>13200</v>
      </c>
      <c r="G7" s="29" t="n">
        <f aca="false">F7*(1+Assumptions!$G$18)</f>
        <v>14388</v>
      </c>
      <c r="H7" s="29" t="n">
        <f aca="false">G7*(1+Assumptions!$H$18)</f>
        <v>15539.04</v>
      </c>
      <c r="I7" s="29" t="n">
        <f aca="false">H7*(1+Assumptions!$I$18)</f>
        <v>16626.7728</v>
      </c>
      <c r="J7" s="29" t="n">
        <f aca="false">I7*(1+Assumptions!$J$18)</f>
        <v>17624.379168</v>
      </c>
    </row>
    <row r="8" customFormat="false" ht="15" hidden="false" customHeight="true" outlineLevel="0" collapsed="false">
      <c r="B8" s="14" t="s">
        <v>52</v>
      </c>
      <c r="C8" s="28" t="n">
        <f aca="false">Assumptions!C80</f>
        <v>5800</v>
      </c>
      <c r="D8" s="28" t="n">
        <f aca="false">Assumptions!D80</f>
        <v>6270</v>
      </c>
      <c r="E8" s="28" t="n">
        <f aca="false">Assumptions!E80</f>
        <v>6720</v>
      </c>
      <c r="F8" s="29" t="n">
        <f aca="false">F7*(1-Assumptions!$F$24)</f>
        <v>7392</v>
      </c>
      <c r="G8" s="29" t="n">
        <f aca="false">G7*(1-Assumptions!$G$24)</f>
        <v>7913.4</v>
      </c>
      <c r="H8" s="29" t="n">
        <f aca="false">H7*(1-Assumptions!$H$24)</f>
        <v>8546.472</v>
      </c>
      <c r="I8" s="29" t="n">
        <f aca="false">I7*(1-Assumptions!$I$24)</f>
        <v>8978.457312</v>
      </c>
      <c r="J8" s="29" t="n">
        <f aca="false">J7*(1-Assumptions!$J$24)</f>
        <v>9517.16475072001</v>
      </c>
    </row>
    <row r="9" customFormat="false" ht="15" hidden="false" customHeight="true" outlineLevel="0" collapsed="false">
      <c r="B9" s="4" t="s">
        <v>53</v>
      </c>
      <c r="C9" s="30" t="n">
        <f aca="false">C7-C8</f>
        <v>4200</v>
      </c>
      <c r="D9" s="30" t="n">
        <f aca="false">D7-D8</f>
        <v>4730</v>
      </c>
      <c r="E9" s="30" t="n">
        <f aca="false">E7-E8</f>
        <v>5280</v>
      </c>
      <c r="F9" s="30" t="n">
        <f aca="false">F7-F8</f>
        <v>5808</v>
      </c>
      <c r="G9" s="30" t="n">
        <f aca="false">G7-G8</f>
        <v>6474.6</v>
      </c>
      <c r="H9" s="30" t="n">
        <f aca="false">H7-H8</f>
        <v>6992.568</v>
      </c>
      <c r="I9" s="30" t="n">
        <f aca="false">I7-I8</f>
        <v>7648.315488</v>
      </c>
      <c r="J9" s="30" t="n">
        <f aca="false">J7-J8</f>
        <v>8107.21441728</v>
      </c>
    </row>
    <row r="10" customFormat="false" ht="15" hidden="false" customHeight="true" outlineLevel="0" collapsed="false">
      <c r="B10" s="14" t="s">
        <v>54</v>
      </c>
      <c r="C10" s="29" t="n">
        <f aca="false">C7*Assumptions!$C$30</f>
        <v>1800</v>
      </c>
      <c r="D10" s="29" t="n">
        <f aca="false">D7*Assumptions!$D$30</f>
        <v>1980</v>
      </c>
      <c r="E10" s="29" t="n">
        <f aca="false">E7*Assumptions!$E$30</f>
        <v>2040</v>
      </c>
      <c r="F10" s="29" t="n">
        <f aca="false">F7*Assumptions!$F$30</f>
        <v>2244</v>
      </c>
      <c r="G10" s="29" t="n">
        <f aca="false">G7*Assumptions!$G$30</f>
        <v>2445.96</v>
      </c>
      <c r="H10" s="29" t="n">
        <f aca="false">H7*Assumptions!$H$30</f>
        <v>2486.2464</v>
      </c>
      <c r="I10" s="29" t="n">
        <f aca="false">I7*Assumptions!$I$30</f>
        <v>2660.283648</v>
      </c>
      <c r="J10" s="29" t="n">
        <f aca="false">J7*Assumptions!$J$30</f>
        <v>2819.90066688</v>
      </c>
    </row>
    <row r="11" customFormat="false" ht="15" hidden="false" customHeight="true" outlineLevel="0" collapsed="false">
      <c r="B11" s="14" t="s">
        <v>55</v>
      </c>
      <c r="C11" s="29" t="n">
        <f aca="false">C7*Assumptions!$C$36</f>
        <v>800</v>
      </c>
      <c r="D11" s="29" t="n">
        <f aca="false">D7*Assumptions!$D$36</f>
        <v>880</v>
      </c>
      <c r="E11" s="29" t="n">
        <f aca="false">E7*Assumptions!$E$36</f>
        <v>960</v>
      </c>
      <c r="F11" s="29" t="n">
        <f aca="false">F7*Assumptions!$F$36</f>
        <v>1056</v>
      </c>
      <c r="G11" s="29" t="n">
        <f aca="false">G7*Assumptions!$G$36</f>
        <v>1151.04</v>
      </c>
      <c r="H11" s="29" t="n">
        <f aca="false">H7*Assumptions!$H$36</f>
        <v>1243.1232</v>
      </c>
      <c r="I11" s="29" t="n">
        <f aca="false">I7*Assumptions!$I$36</f>
        <v>1330.141824</v>
      </c>
      <c r="J11" s="29" t="n">
        <f aca="false">J7*Assumptions!$J$36</f>
        <v>1409.95033344</v>
      </c>
    </row>
    <row r="12" customFormat="false" ht="15" hidden="false" customHeight="true" outlineLevel="0" collapsed="false">
      <c r="B12" s="4" t="s">
        <v>56</v>
      </c>
      <c r="C12" s="31" t="n">
        <f aca="false">C9-C10-C11</f>
        <v>1600</v>
      </c>
      <c r="D12" s="31" t="n">
        <f aca="false">D9-D10-D11</f>
        <v>1870</v>
      </c>
      <c r="E12" s="31" t="n">
        <f aca="false">E9-E10-E11</f>
        <v>2280</v>
      </c>
      <c r="F12" s="31" t="n">
        <f aca="false">F9-F10-F11</f>
        <v>2508</v>
      </c>
      <c r="G12" s="31" t="n">
        <f aca="false">G9-G10-G11</f>
        <v>2877.6</v>
      </c>
      <c r="H12" s="31" t="n">
        <f aca="false">H9-H10-H11</f>
        <v>3263.1984</v>
      </c>
      <c r="I12" s="31" t="n">
        <f aca="false">I9-I10-I11</f>
        <v>3657.890016</v>
      </c>
      <c r="J12" s="31" t="n">
        <f aca="false">J9-J10-J11</f>
        <v>3877.36341696</v>
      </c>
    </row>
    <row r="13" customFormat="false" ht="15" hidden="false" customHeight="true" outlineLevel="0" collapsed="false">
      <c r="B13" s="14" t="s">
        <v>57</v>
      </c>
      <c r="C13" s="28" t="n">
        <f aca="false">'PP&amp;E Schedule'!C9</f>
        <v>360</v>
      </c>
      <c r="D13" s="28" t="n">
        <f aca="false">'PP&amp;E Schedule'!D9</f>
        <v>384</v>
      </c>
      <c r="E13" s="28" t="n">
        <f aca="false">'PP&amp;E Schedule'!E9</f>
        <v>411.6</v>
      </c>
      <c r="F13" s="28" t="n">
        <f aca="false">'PP&amp;E Schedule'!F9</f>
        <v>442.44</v>
      </c>
      <c r="G13" s="28" t="n">
        <f aca="false">'PP&amp;E Schedule'!G9</f>
        <v>477.396</v>
      </c>
      <c r="H13" s="28" t="n">
        <f aca="false">'PP&amp;E Schedule'!H9</f>
        <v>515.9844</v>
      </c>
      <c r="I13" s="28" t="n">
        <f aca="false">'PP&amp;E Schedule'!I9</f>
        <v>557.6202</v>
      </c>
      <c r="J13" s="28" t="n">
        <f aca="false">'PP&amp;E Schedule'!J9</f>
        <v>601.6188168</v>
      </c>
    </row>
    <row r="14" customFormat="false" ht="15" hidden="false" customHeight="true" outlineLevel="0" collapsed="false">
      <c r="B14" s="4" t="s">
        <v>58</v>
      </c>
      <c r="C14" s="31" t="n">
        <f aca="false">C12-C13</f>
        <v>1240</v>
      </c>
      <c r="D14" s="31" t="n">
        <f aca="false">D12-D13</f>
        <v>1486</v>
      </c>
      <c r="E14" s="31" t="n">
        <f aca="false">E12-E13</f>
        <v>1868.4</v>
      </c>
      <c r="F14" s="31" t="n">
        <f aca="false">F12-F13</f>
        <v>2065.56</v>
      </c>
      <c r="G14" s="31" t="n">
        <f aca="false">G12-G13</f>
        <v>2400.204</v>
      </c>
      <c r="H14" s="31" t="n">
        <f aca="false">H12-H13</f>
        <v>2747.214</v>
      </c>
      <c r="I14" s="31" t="n">
        <f aca="false">I12-I13</f>
        <v>3100.269816</v>
      </c>
      <c r="J14" s="31" t="n">
        <f aca="false">J12-J13</f>
        <v>3275.74460016</v>
      </c>
    </row>
    <row r="15" customFormat="false" ht="15" hidden="false" customHeight="true" outlineLevel="0" collapsed="false">
      <c r="B15" s="14" t="s">
        <v>59</v>
      </c>
      <c r="C15" s="28" t="n">
        <f aca="false">'Debt Schedule'!C21</f>
        <v>275</v>
      </c>
      <c r="D15" s="28" t="n">
        <f aca="false">'Debt Schedule'!D21</f>
        <v>261.25</v>
      </c>
      <c r="E15" s="28" t="n">
        <f aca="false">'Debt Schedule'!E21</f>
        <v>247.5</v>
      </c>
      <c r="F15" s="28" t="n">
        <f aca="false">'Debt Schedule'!F21</f>
        <v>233.75</v>
      </c>
      <c r="G15" s="28" t="n">
        <f aca="false">'Debt Schedule'!G21</f>
        <v>220</v>
      </c>
      <c r="H15" s="28" t="n">
        <f aca="false">'Debt Schedule'!H21</f>
        <v>206.25</v>
      </c>
      <c r="I15" s="28" t="n">
        <f aca="false">'Debt Schedule'!I21</f>
        <v>192.5</v>
      </c>
      <c r="J15" s="28" t="n">
        <f aca="false">'Debt Schedule'!J21</f>
        <v>178.75</v>
      </c>
    </row>
    <row r="16" customFormat="false" ht="15" hidden="false" customHeight="true" outlineLevel="0" collapsed="false">
      <c r="B16" s="4" t="s">
        <v>60</v>
      </c>
      <c r="C16" s="31" t="n">
        <f aca="false">C14-C15</f>
        <v>965</v>
      </c>
      <c r="D16" s="31" t="n">
        <f aca="false">D14-D15</f>
        <v>1224.75</v>
      </c>
      <c r="E16" s="31" t="n">
        <f aca="false">E14-E15</f>
        <v>1620.9</v>
      </c>
      <c r="F16" s="31" t="n">
        <f aca="false">F14-F15</f>
        <v>1831.81</v>
      </c>
      <c r="G16" s="31" t="n">
        <f aca="false">G14-G15</f>
        <v>2180.204</v>
      </c>
      <c r="H16" s="31" t="n">
        <f aca="false">H14-H15</f>
        <v>2540.964</v>
      </c>
      <c r="I16" s="31" t="n">
        <f aca="false">I14-I15</f>
        <v>2907.769816</v>
      </c>
      <c r="J16" s="31" t="n">
        <f aca="false">J14-J15</f>
        <v>3096.99460016</v>
      </c>
    </row>
    <row r="17" customFormat="false" ht="15" hidden="false" customHeight="true" outlineLevel="0" collapsed="false">
      <c r="B17" s="14" t="s">
        <v>61</v>
      </c>
      <c r="C17" s="29" t="n">
        <f aca="false">MAX(C16,0)*Assumptions!$C$42</f>
        <v>202.65</v>
      </c>
      <c r="D17" s="29" t="n">
        <f aca="false">MAX(D16,0)*Assumptions!$D$42</f>
        <v>257.1975</v>
      </c>
      <c r="E17" s="29" t="n">
        <f aca="false">MAX(E16,0)*Assumptions!$E$42</f>
        <v>340.389</v>
      </c>
      <c r="F17" s="29" t="n">
        <f aca="false">MAX(F16,0)*Assumptions!$F$42</f>
        <v>384.6801</v>
      </c>
      <c r="G17" s="29" t="n">
        <f aca="false">MAX(G16,0)*Assumptions!$G$42</f>
        <v>457.84284</v>
      </c>
      <c r="H17" s="29" t="n">
        <f aca="false">MAX(H16,0)*Assumptions!$H$42</f>
        <v>533.60244</v>
      </c>
      <c r="I17" s="29" t="n">
        <f aca="false">MAX(I16,0)*Assumptions!$I$42</f>
        <v>610.63166136</v>
      </c>
      <c r="J17" s="29" t="n">
        <f aca="false">MAX(J16,0)*Assumptions!$J$42</f>
        <v>650.3688660336</v>
      </c>
    </row>
    <row r="18" customFormat="false" ht="15" hidden="false" customHeight="true" outlineLevel="0" collapsed="false">
      <c r="B18" s="4" t="s">
        <v>62</v>
      </c>
      <c r="C18" s="31" t="n">
        <f aca="false">C16-C17</f>
        <v>762.35</v>
      </c>
      <c r="D18" s="31" t="n">
        <f aca="false">D16-D17</f>
        <v>967.5525</v>
      </c>
      <c r="E18" s="31" t="n">
        <f aca="false">E16-E17</f>
        <v>1280.511</v>
      </c>
      <c r="F18" s="31" t="n">
        <f aca="false">F16-F17</f>
        <v>1447.1299</v>
      </c>
      <c r="G18" s="31" t="n">
        <f aca="false">G16-G17</f>
        <v>1722.36116</v>
      </c>
      <c r="H18" s="31" t="n">
        <f aca="false">H16-H17</f>
        <v>2007.36156</v>
      </c>
      <c r="I18" s="31" t="n">
        <f aca="false">I16-I17</f>
        <v>2297.13815464</v>
      </c>
      <c r="J18" s="31" t="n">
        <f aca="false">J16-J17</f>
        <v>2446.6257341264</v>
      </c>
    </row>
    <row r="19" customFormat="false" ht="15" hidden="false" customHeight="true" outlineLevel="0" collapsed="false">
      <c r="B19" s="14" t="s">
        <v>63</v>
      </c>
      <c r="C19" s="29" t="n">
        <f aca="false">C18*Assumptions!$C$48</f>
        <v>152.47</v>
      </c>
      <c r="D19" s="29" t="n">
        <f aca="false">D18*Assumptions!$D$48</f>
        <v>193.5105</v>
      </c>
      <c r="E19" s="29" t="n">
        <f aca="false">E18*Assumptions!$E$48</f>
        <v>256.1022</v>
      </c>
      <c r="F19" s="29" t="n">
        <f aca="false">F18*Assumptions!$F$48</f>
        <v>289.42598</v>
      </c>
      <c r="G19" s="29" t="n">
        <f aca="false">G18*Assumptions!$G$48</f>
        <v>344.472232</v>
      </c>
      <c r="H19" s="29" t="n">
        <f aca="false">H18*Assumptions!$H$48</f>
        <v>401.472312</v>
      </c>
      <c r="I19" s="29" t="n">
        <f aca="false">I18*Assumptions!$I$48</f>
        <v>459.427630928</v>
      </c>
      <c r="J19" s="29" t="n">
        <f aca="false">J18*Assumptions!$J$48</f>
        <v>489.32514682528</v>
      </c>
    </row>
    <row r="20" customFormat="false" ht="15" hidden="false" customHeight="true" outlineLevel="0" collapsed="false">
      <c r="B20" s="14" t="s">
        <v>64</v>
      </c>
      <c r="C20" s="29" t="n">
        <f aca="false">C18-C19</f>
        <v>609.88</v>
      </c>
      <c r="D20" s="29" t="n">
        <f aca="false">D18-D19</f>
        <v>774.042</v>
      </c>
      <c r="E20" s="29" t="n">
        <f aca="false">E18-E19</f>
        <v>1024.4088</v>
      </c>
      <c r="F20" s="29" t="n">
        <f aca="false">F18-F19</f>
        <v>1157.70392</v>
      </c>
      <c r="G20" s="29" t="n">
        <f aca="false">G18-G19</f>
        <v>1377.888928</v>
      </c>
      <c r="H20" s="29" t="n">
        <f aca="false">H18-H19</f>
        <v>1605.889248</v>
      </c>
      <c r="I20" s="29" t="n">
        <f aca="false">I18-I19</f>
        <v>1837.710523712</v>
      </c>
      <c r="J20" s="29" t="n">
        <f aca="false">J18-J19</f>
        <v>1957.30058730112</v>
      </c>
    </row>
    <row r="22" customFormat="false" ht="15" hidden="false" customHeight="true" outlineLevel="0" collapsed="false">
      <c r="B22" s="4" t="s">
        <v>65</v>
      </c>
      <c r="C22" s="32" t="n">
        <f aca="false">C18/C23</f>
        <v>0.76235</v>
      </c>
      <c r="D22" s="32" t="n">
        <f aca="false">D18/D23</f>
        <v>0.9675525</v>
      </c>
      <c r="E22" s="32" t="n">
        <f aca="false">E18/E23</f>
        <v>1.280511</v>
      </c>
      <c r="F22" s="32" t="n">
        <f aca="false">F18/F23</f>
        <v>1.4471299</v>
      </c>
      <c r="G22" s="32" t="n">
        <f aca="false">G18/G23</f>
        <v>1.72236116</v>
      </c>
      <c r="H22" s="32" t="n">
        <f aca="false">H18/H23</f>
        <v>2.00736156</v>
      </c>
      <c r="I22" s="32" t="n">
        <f aca="false">I18/I23</f>
        <v>2.29713815464</v>
      </c>
      <c r="J22" s="32" t="n">
        <f aca="false">J18/J23</f>
        <v>2.4466257341264</v>
      </c>
    </row>
    <row r="23" customFormat="false" ht="15" hidden="false" customHeight="true" outlineLevel="0" collapsed="false">
      <c r="B23" s="14" t="s">
        <v>66</v>
      </c>
      <c r="C23" s="33" t="n">
        <f aca="false">Assumptions!$C$76</f>
        <v>1000</v>
      </c>
      <c r="D23" s="33" t="n">
        <f aca="false">Assumptions!$C$76</f>
        <v>1000</v>
      </c>
      <c r="E23" s="33" t="n">
        <f aca="false">Assumptions!$C$76</f>
        <v>1000</v>
      </c>
      <c r="F23" s="33" t="n">
        <f aca="false">Assumptions!$C$76</f>
        <v>1000</v>
      </c>
      <c r="G23" s="33" t="n">
        <f aca="false">Assumptions!$C$76</f>
        <v>1000</v>
      </c>
      <c r="H23" s="33" t="n">
        <f aca="false">Assumptions!$C$76</f>
        <v>1000</v>
      </c>
      <c r="I23" s="33" t="n">
        <f aca="false">Assumptions!$C$76</f>
        <v>1000</v>
      </c>
      <c r="J23" s="33" t="n">
        <f aca="false">Assumptions!$C$76</f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B2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10" min="3" style="1" width="13"/>
  </cols>
  <sheetData>
    <row r="2" customFormat="false" ht="17.25" hidden="false" customHeight="true" outlineLevel="0" collapsed="false">
      <c r="B2" s="2" t="s">
        <v>67</v>
      </c>
    </row>
    <row r="3" customFormat="false" ht="15" hidden="false" customHeight="true" outlineLevel="0" collapsed="false">
      <c r="B3" s="3" t="s">
        <v>68</v>
      </c>
    </row>
    <row r="5" customFormat="false" ht="15" hidden="false" customHeight="true" outlineLevel="0" collapsed="false">
      <c r="B5" s="3" t="s">
        <v>50</v>
      </c>
      <c r="C5" s="27" t="n">
        <f aca="false">Assumptions!C$5</f>
        <v>2023</v>
      </c>
      <c r="D5" s="27" t="n">
        <f aca="false">Assumptions!D$5</f>
        <v>2024</v>
      </c>
      <c r="E5" s="27" t="n">
        <f aca="false">Assumptions!E$5</f>
        <v>2025</v>
      </c>
      <c r="F5" s="27" t="n">
        <f aca="false">Assumptions!F$5</f>
        <v>2026</v>
      </c>
      <c r="G5" s="27" t="n">
        <f aca="false">Assumptions!G$5</f>
        <v>2027</v>
      </c>
      <c r="H5" s="27" t="n">
        <f aca="false">Assumptions!H$5</f>
        <v>2028</v>
      </c>
      <c r="I5" s="27" t="n">
        <f aca="false">Assumptions!I$5</f>
        <v>2029</v>
      </c>
      <c r="J5" s="27" t="n">
        <f aca="false">Assumptions!J$5</f>
        <v>2030</v>
      </c>
    </row>
    <row r="7" customFormat="false" ht="15" hidden="false" customHeight="true" outlineLevel="0" collapsed="false">
      <c r="B7" s="4" t="s">
        <v>69</v>
      </c>
    </row>
    <row r="8" customFormat="false" ht="15" hidden="false" customHeight="true" outlineLevel="0" collapsed="false">
      <c r="B8" s="14" t="s">
        <v>70</v>
      </c>
      <c r="C8" s="28" t="n">
        <f aca="false">'Cash Flow'!C21</f>
        <v>3119.88</v>
      </c>
      <c r="D8" s="28" t="n">
        <f aca="false">'Cash Flow'!D21</f>
        <v>3218.88090410959</v>
      </c>
      <c r="E8" s="28" t="n">
        <f aca="false">'Cash Flow'!E21</f>
        <v>3536.94449863014</v>
      </c>
      <c r="F8" s="28" t="n">
        <f aca="false">'Cash Flow'!F21</f>
        <v>3910.32129534246</v>
      </c>
      <c r="G8" s="28" t="n">
        <f aca="false">'Cash Flow'!G21</f>
        <v>4477.29060690411</v>
      </c>
      <c r="H8" s="28" t="n">
        <f aca="false">'Cash Flow'!H21</f>
        <v>5240.22393709589</v>
      </c>
      <c r="I8" s="28" t="n">
        <f aca="false">'Cash Flow'!I21</f>
        <v>6230.17382091748</v>
      </c>
      <c r="J8" s="28" t="n">
        <f aca="false">'Cash Flow'!J21</f>
        <v>7329.11969320052</v>
      </c>
    </row>
    <row r="9" customFormat="false" ht="15" hidden="false" customHeight="true" outlineLevel="0" collapsed="false">
      <c r="B9" s="14" t="s">
        <v>71</v>
      </c>
      <c r="C9" s="28" t="n">
        <f aca="false">'WC Schedule'!C7</f>
        <v>1232.87671232877</v>
      </c>
      <c r="D9" s="28" t="n">
        <f aca="false">'WC Schedule'!D7</f>
        <v>1356.16438356164</v>
      </c>
      <c r="E9" s="28" t="n">
        <f aca="false">'WC Schedule'!E7</f>
        <v>1479.45205479452</v>
      </c>
      <c r="F9" s="28" t="n">
        <f aca="false">'WC Schedule'!F7</f>
        <v>1627.39726027397</v>
      </c>
      <c r="G9" s="28" t="n">
        <f aca="false">'WC Schedule'!G7</f>
        <v>1773.86301369863</v>
      </c>
      <c r="H9" s="28" t="n">
        <f aca="false">'WC Schedule'!H7</f>
        <v>1915.77205479452</v>
      </c>
      <c r="I9" s="28" t="n">
        <f aca="false">'WC Schedule'!I7</f>
        <v>2049.87609863014</v>
      </c>
      <c r="J9" s="28" t="n">
        <f aca="false">'WC Schedule'!J7</f>
        <v>2172.86866454795</v>
      </c>
    </row>
    <row r="10" customFormat="false" ht="15" hidden="false" customHeight="true" outlineLevel="0" collapsed="false">
      <c r="B10" s="14" t="s">
        <v>72</v>
      </c>
      <c r="C10" s="28" t="n">
        <f aca="false">'WC Schedule'!C8</f>
        <v>953.424657534247</v>
      </c>
      <c r="D10" s="28" t="n">
        <f aca="false">'WC Schedule'!D8</f>
        <v>1030.68493150685</v>
      </c>
      <c r="E10" s="28" t="n">
        <f aca="false">'WC Schedule'!E8</f>
        <v>1104.65753424658</v>
      </c>
      <c r="F10" s="28" t="n">
        <f aca="false">'WC Schedule'!F8</f>
        <v>1215.12328767123</v>
      </c>
      <c r="G10" s="28" t="n">
        <f aca="false">'WC Schedule'!G8</f>
        <v>1300.83287671233</v>
      </c>
      <c r="H10" s="28" t="n">
        <f aca="false">'WC Schedule'!H8</f>
        <v>1404.89950684932</v>
      </c>
      <c r="I10" s="28" t="n">
        <f aca="false">'WC Schedule'!I8</f>
        <v>1475.9107910137</v>
      </c>
      <c r="J10" s="28" t="n">
        <f aca="false">'WC Schedule'!J8</f>
        <v>1564.46543847452</v>
      </c>
    </row>
    <row r="11" customFormat="false" ht="15" hidden="false" customHeight="true" outlineLevel="0" collapsed="false">
      <c r="B11" s="14" t="s">
        <v>73</v>
      </c>
      <c r="C11" s="28" t="n">
        <f aca="false">'PP&amp;E Schedule'!C10</f>
        <v>3840</v>
      </c>
      <c r="D11" s="28" t="n">
        <f aca="false">'PP&amp;E Schedule'!D10</f>
        <v>4116</v>
      </c>
      <c r="E11" s="28" t="n">
        <f aca="false">'PP&amp;E Schedule'!E10</f>
        <v>4424.4</v>
      </c>
      <c r="F11" s="28" t="n">
        <f aca="false">'PP&amp;E Schedule'!F10</f>
        <v>4773.96</v>
      </c>
      <c r="G11" s="28" t="n">
        <f aca="false">'PP&amp;E Schedule'!G10</f>
        <v>5159.844</v>
      </c>
      <c r="H11" s="28" t="n">
        <f aca="false">'PP&amp;E Schedule'!H10</f>
        <v>5576.202</v>
      </c>
      <c r="I11" s="28" t="n">
        <f aca="false">'PP&amp;E Schedule'!I10</f>
        <v>6016.188168</v>
      </c>
      <c r="J11" s="28" t="n">
        <f aca="false">'PP&amp;E Schedule'!J10</f>
        <v>6472.03210128</v>
      </c>
    </row>
    <row r="12" customFormat="false" ht="15" hidden="false" customHeight="true" outlineLevel="0" collapsed="false">
      <c r="B12" s="4" t="s">
        <v>74</v>
      </c>
      <c r="C12" s="31" t="n">
        <f aca="false">C8+C9+C10+C11</f>
        <v>9146.18136986301</v>
      </c>
      <c r="D12" s="31" t="n">
        <f aca="false">D8+D9+D10+D11</f>
        <v>9721.73021917808</v>
      </c>
      <c r="E12" s="31" t="n">
        <f aca="false">E8+E9+E10+E11</f>
        <v>10545.4540876712</v>
      </c>
      <c r="F12" s="31" t="n">
        <f aca="false">F8+F9+F10+F11</f>
        <v>11526.8018432877</v>
      </c>
      <c r="G12" s="31" t="n">
        <f aca="false">G8+G9+G10+G11</f>
        <v>12711.8304973151</v>
      </c>
      <c r="H12" s="31" t="n">
        <f aca="false">H8+H9+H10+H11</f>
        <v>14137.0974987397</v>
      </c>
      <c r="I12" s="31" t="n">
        <f aca="false">I8+I9+I10+I11</f>
        <v>15772.1488785613</v>
      </c>
      <c r="J12" s="31" t="n">
        <f aca="false">J8+J9+J10+J11</f>
        <v>17538.485897503</v>
      </c>
    </row>
    <row r="14" customFormat="false" ht="15" hidden="false" customHeight="true" outlineLevel="0" collapsed="false">
      <c r="B14" s="4" t="s">
        <v>75</v>
      </c>
    </row>
    <row r="15" customFormat="false" ht="15" hidden="false" customHeight="true" outlineLevel="0" collapsed="false">
      <c r="B15" s="14" t="s">
        <v>76</v>
      </c>
      <c r="C15" s="28" t="n">
        <f aca="false">'WC Schedule'!C9</f>
        <v>635.616438356164</v>
      </c>
      <c r="D15" s="28" t="n">
        <f aca="false">'WC Schedule'!D9</f>
        <v>687.123287671233</v>
      </c>
      <c r="E15" s="28" t="n">
        <f aca="false">'WC Schedule'!E9</f>
        <v>736.438356164384</v>
      </c>
      <c r="F15" s="28" t="n">
        <f aca="false">'WC Schedule'!F9</f>
        <v>810.082191780822</v>
      </c>
      <c r="G15" s="28" t="n">
        <f aca="false">'WC Schedule'!G9</f>
        <v>867.221917808219</v>
      </c>
      <c r="H15" s="28" t="n">
        <f aca="false">'WC Schedule'!H9</f>
        <v>936.599671232877</v>
      </c>
      <c r="I15" s="28" t="n">
        <f aca="false">'WC Schedule'!I9</f>
        <v>983.940527342466</v>
      </c>
      <c r="J15" s="28" t="n">
        <f aca="false">'WC Schedule'!J9</f>
        <v>1042.97695898301</v>
      </c>
    </row>
    <row r="16" customFormat="false" ht="15" hidden="false" customHeight="true" outlineLevel="0" collapsed="false">
      <c r="B16" s="14" t="s">
        <v>77</v>
      </c>
      <c r="C16" s="28" t="n">
        <f aca="false">'Debt Schedule'!C19</f>
        <v>4750</v>
      </c>
      <c r="D16" s="28" t="n">
        <f aca="false">'Debt Schedule'!D19</f>
        <v>4500</v>
      </c>
      <c r="E16" s="28" t="n">
        <f aca="false">'Debt Schedule'!E19</f>
        <v>4250</v>
      </c>
      <c r="F16" s="28" t="n">
        <f aca="false">'Debt Schedule'!F19</f>
        <v>4000</v>
      </c>
      <c r="G16" s="28" t="n">
        <f aca="false">'Debt Schedule'!G19</f>
        <v>3750</v>
      </c>
      <c r="H16" s="28" t="n">
        <f aca="false">'Debt Schedule'!H19</f>
        <v>3500</v>
      </c>
      <c r="I16" s="28" t="n">
        <f aca="false">'Debt Schedule'!I19</f>
        <v>3250</v>
      </c>
      <c r="J16" s="28" t="n">
        <f aca="false">'Debt Schedule'!J19</f>
        <v>3000</v>
      </c>
    </row>
    <row r="17" customFormat="false" ht="15" hidden="false" customHeight="true" outlineLevel="0" collapsed="false">
      <c r="B17" s="14" t="s">
        <v>78</v>
      </c>
      <c r="C17" s="29" t="n">
        <f aca="false">(C8+C9+C10+C11)-C15-C16</f>
        <v>3760.56493150685</v>
      </c>
      <c r="D17" s="29" t="n">
        <f aca="false">C17+'Income Statement'!D20</f>
        <v>4534.60693150685</v>
      </c>
      <c r="E17" s="29" t="n">
        <f aca="false">D17+'Income Statement'!E20</f>
        <v>5559.01573150685</v>
      </c>
      <c r="F17" s="29" t="n">
        <f aca="false">E17+'Income Statement'!F20</f>
        <v>6716.71965150685</v>
      </c>
      <c r="G17" s="29" t="n">
        <f aca="false">F17+'Income Statement'!G20</f>
        <v>8094.60857950685</v>
      </c>
      <c r="H17" s="29" t="n">
        <f aca="false">G17+'Income Statement'!H20</f>
        <v>9700.49782750685</v>
      </c>
      <c r="I17" s="29" t="n">
        <f aca="false">H17+'Income Statement'!I20</f>
        <v>11538.2083512189</v>
      </c>
      <c r="J17" s="29" t="n">
        <f aca="false">I17+'Income Statement'!J20</f>
        <v>13495.50893852</v>
      </c>
    </row>
    <row r="18" customFormat="false" ht="15" hidden="false" customHeight="true" outlineLevel="0" collapsed="false">
      <c r="B18" s="4" t="s">
        <v>79</v>
      </c>
      <c r="C18" s="31" t="n">
        <f aca="false">C15+C16+C17</f>
        <v>9146.18136986301</v>
      </c>
      <c r="D18" s="31" t="n">
        <f aca="false">D15+D16+D17</f>
        <v>9721.73021917808</v>
      </c>
      <c r="E18" s="31" t="n">
        <f aca="false">E15+E16+E17</f>
        <v>10545.4540876712</v>
      </c>
      <c r="F18" s="31" t="n">
        <f aca="false">F15+F16+F17</f>
        <v>11526.8018432877</v>
      </c>
      <c r="G18" s="31" t="n">
        <f aca="false">G15+G16+G17</f>
        <v>12711.8304973151</v>
      </c>
      <c r="H18" s="31" t="n">
        <f aca="false">H15+H16+H17</f>
        <v>14137.0974987397</v>
      </c>
      <c r="I18" s="31" t="n">
        <f aca="false">I15+I16+I17</f>
        <v>15772.1488785613</v>
      </c>
      <c r="J18" s="31" t="n">
        <f aca="false">J15+J16+J17</f>
        <v>17538.485897503</v>
      </c>
    </row>
    <row r="20" customFormat="false" ht="15" hidden="false" customHeight="true" outlineLevel="0" collapsed="false">
      <c r="B20" s="4" t="s">
        <v>80</v>
      </c>
      <c r="C20" s="34" t="n">
        <f aca="false">C12-C18</f>
        <v>0</v>
      </c>
      <c r="D20" s="34" t="n">
        <f aca="false">D12-D18</f>
        <v>0</v>
      </c>
      <c r="E20" s="34" t="n">
        <f aca="false">E12-E18</f>
        <v>0</v>
      </c>
      <c r="F20" s="34" t="n">
        <f aca="false">F12-F18</f>
        <v>0</v>
      </c>
      <c r="G20" s="34" t="n">
        <f aca="false">G12-G18</f>
        <v>0</v>
      </c>
      <c r="H20" s="34" t="n">
        <f aca="false">H12-H18</f>
        <v>0</v>
      </c>
      <c r="I20" s="34" t="n">
        <f aca="false">I12-I18</f>
        <v>0</v>
      </c>
      <c r="J20" s="34" t="n">
        <f aca="false">J12-J18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B2:J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10" min="3" style="1" width="13"/>
  </cols>
  <sheetData>
    <row r="2" customFormat="false" ht="17.25" hidden="false" customHeight="true" outlineLevel="0" collapsed="false">
      <c r="B2" s="2" t="s">
        <v>81</v>
      </c>
    </row>
    <row r="3" customFormat="false" ht="15" hidden="false" customHeight="true" outlineLevel="0" collapsed="false">
      <c r="B3" s="3" t="s">
        <v>82</v>
      </c>
    </row>
    <row r="5" customFormat="false" ht="15" hidden="false" customHeight="true" outlineLevel="0" collapsed="false">
      <c r="B5" s="3" t="s">
        <v>50</v>
      </c>
      <c r="C5" s="27" t="n">
        <f aca="false">Assumptions!C$5</f>
        <v>2023</v>
      </c>
      <c r="D5" s="27" t="n">
        <f aca="false">Assumptions!D$5</f>
        <v>2024</v>
      </c>
      <c r="E5" s="27" t="n">
        <f aca="false">Assumptions!E$5</f>
        <v>2025</v>
      </c>
      <c r="F5" s="27" t="n">
        <f aca="false">Assumptions!F$5</f>
        <v>2026</v>
      </c>
      <c r="G5" s="27" t="n">
        <f aca="false">Assumptions!G$5</f>
        <v>2027</v>
      </c>
      <c r="H5" s="27" t="n">
        <f aca="false">Assumptions!H$5</f>
        <v>2028</v>
      </c>
      <c r="I5" s="27" t="n">
        <f aca="false">Assumptions!I$5</f>
        <v>2029</v>
      </c>
      <c r="J5" s="27" t="n">
        <f aca="false">Assumptions!J$5</f>
        <v>2030</v>
      </c>
    </row>
    <row r="7" customFormat="false" ht="15" hidden="false" customHeight="true" outlineLevel="0" collapsed="false">
      <c r="B7" s="14" t="s">
        <v>83</v>
      </c>
      <c r="C7" s="28" t="n">
        <f aca="false">'Income Statement'!C18</f>
        <v>762.35</v>
      </c>
      <c r="D7" s="28" t="n">
        <f aca="false">'Income Statement'!D18</f>
        <v>967.5525</v>
      </c>
      <c r="E7" s="28" t="n">
        <f aca="false">'Income Statement'!E18</f>
        <v>1280.511</v>
      </c>
      <c r="F7" s="28" t="n">
        <f aca="false">'Income Statement'!F18</f>
        <v>1447.1299</v>
      </c>
      <c r="G7" s="28" t="n">
        <f aca="false">'Income Statement'!G18</f>
        <v>1722.36116</v>
      </c>
      <c r="H7" s="28" t="n">
        <f aca="false">'Income Statement'!H18</f>
        <v>2007.36156</v>
      </c>
      <c r="I7" s="28" t="n">
        <f aca="false">'Income Statement'!I18</f>
        <v>2297.13815464</v>
      </c>
      <c r="J7" s="28" t="n">
        <f aca="false">'Income Statement'!J18</f>
        <v>2446.6257341264</v>
      </c>
    </row>
    <row r="8" customFormat="false" ht="15" hidden="false" customHeight="true" outlineLevel="0" collapsed="false">
      <c r="B8" s="14" t="s">
        <v>84</v>
      </c>
      <c r="C8" s="28" t="n">
        <f aca="false">'Income Statement'!C13</f>
        <v>360</v>
      </c>
      <c r="D8" s="28" t="n">
        <f aca="false">'Income Statement'!D13</f>
        <v>384</v>
      </c>
      <c r="E8" s="28" t="n">
        <f aca="false">'Income Statement'!E13</f>
        <v>411.6</v>
      </c>
      <c r="F8" s="28" t="n">
        <f aca="false">'Income Statement'!F13</f>
        <v>442.44</v>
      </c>
      <c r="G8" s="28" t="n">
        <f aca="false">'Income Statement'!G13</f>
        <v>477.396</v>
      </c>
      <c r="H8" s="28" t="n">
        <f aca="false">'Income Statement'!H13</f>
        <v>515.9844</v>
      </c>
      <c r="I8" s="28" t="n">
        <f aca="false">'Income Statement'!I13</f>
        <v>557.6202</v>
      </c>
      <c r="J8" s="28" t="n">
        <f aca="false">'Income Statement'!J13</f>
        <v>601.6188168</v>
      </c>
    </row>
    <row r="9" customFormat="false" ht="15" hidden="false" customHeight="true" outlineLevel="0" collapsed="false">
      <c r="B9" s="14" t="s">
        <v>85</v>
      </c>
      <c r="C9" s="28" t="str">
        <f aca="false">'WC Schedule'!C11</f>
        <v>0</v>
      </c>
      <c r="D9" s="28" t="n">
        <f aca="false">'WC Schedule'!D11</f>
        <v>149.041095890411</v>
      </c>
      <c r="E9" s="28" t="n">
        <f aca="false">'WC Schedule'!E11</f>
        <v>147.945205479452</v>
      </c>
      <c r="F9" s="28" t="n">
        <f aca="false">'WC Schedule'!F11</f>
        <v>184.767123287671</v>
      </c>
      <c r="G9" s="28" t="n">
        <f aca="false">'WC Schedule'!G11</f>
        <v>175.035616438356</v>
      </c>
      <c r="H9" s="28" t="n">
        <f aca="false">'WC Schedule'!H11</f>
        <v>176.597917808219</v>
      </c>
      <c r="I9" s="28" t="n">
        <f aca="false">'WC Schedule'!I11</f>
        <v>157.774471890411</v>
      </c>
      <c r="J9" s="28" t="n">
        <f aca="false">'WC Schedule'!J11</f>
        <v>152.510781738083</v>
      </c>
    </row>
    <row r="10" customFormat="false" ht="15" hidden="false" customHeight="true" outlineLevel="0" collapsed="false">
      <c r="B10" s="4" t="s">
        <v>86</v>
      </c>
      <c r="C10" s="31" t="n">
        <f aca="false">C7+C8-C9</f>
        <v>1122.35</v>
      </c>
      <c r="D10" s="31" t="n">
        <f aca="false">D7+D8-D9</f>
        <v>1202.51140410959</v>
      </c>
      <c r="E10" s="31" t="n">
        <f aca="false">E7+E8-E9</f>
        <v>1544.16579452055</v>
      </c>
      <c r="F10" s="31" t="n">
        <f aca="false">F7+F8-F9</f>
        <v>1704.80277671233</v>
      </c>
      <c r="G10" s="31" t="n">
        <f aca="false">G7+G8-G9</f>
        <v>2024.72154356164</v>
      </c>
      <c r="H10" s="31" t="n">
        <f aca="false">H7+H8-H9</f>
        <v>2346.74804219178</v>
      </c>
      <c r="I10" s="31" t="n">
        <f aca="false">I7+I8-I9</f>
        <v>2696.98388274959</v>
      </c>
      <c r="J10" s="31" t="n">
        <f aca="false">J7+J8-J9</f>
        <v>2895.73376918832</v>
      </c>
    </row>
    <row r="11" customFormat="false" ht="15" hidden="false" customHeight="true" outlineLevel="0" collapsed="false">
      <c r="B11" s="14" t="s">
        <v>87</v>
      </c>
      <c r="C11" s="28" t="n">
        <f aca="false">'PP&amp;E Schedule'!C8</f>
        <v>600</v>
      </c>
      <c r="D11" s="28" t="n">
        <f aca="false">'PP&amp;E Schedule'!D8</f>
        <v>660</v>
      </c>
      <c r="E11" s="28" t="n">
        <f aca="false">'PP&amp;E Schedule'!E8</f>
        <v>720</v>
      </c>
      <c r="F11" s="28" t="n">
        <f aca="false">'PP&amp;E Schedule'!F8</f>
        <v>792</v>
      </c>
      <c r="G11" s="28" t="n">
        <f aca="false">'PP&amp;E Schedule'!G8</f>
        <v>863.28</v>
      </c>
      <c r="H11" s="28" t="n">
        <f aca="false">'PP&amp;E Schedule'!H8</f>
        <v>932.3424</v>
      </c>
      <c r="I11" s="28" t="n">
        <f aca="false">'PP&amp;E Schedule'!I8</f>
        <v>997.606368</v>
      </c>
      <c r="J11" s="28" t="n">
        <f aca="false">'PP&amp;E Schedule'!J8</f>
        <v>1057.46275008</v>
      </c>
    </row>
    <row r="12" customFormat="false" ht="15" hidden="false" customHeight="true" outlineLevel="0" collapsed="false">
      <c r="B12" s="4" t="s">
        <v>88</v>
      </c>
      <c r="C12" s="35" t="n">
        <f aca="false">-C11</f>
        <v>-600</v>
      </c>
      <c r="D12" s="35" t="n">
        <f aca="false">-D11</f>
        <v>-660</v>
      </c>
      <c r="E12" s="35" t="n">
        <f aca="false">-E11</f>
        <v>-720</v>
      </c>
      <c r="F12" s="35" t="n">
        <f aca="false">-F11</f>
        <v>-792</v>
      </c>
      <c r="G12" s="35" t="n">
        <f aca="false">-G11</f>
        <v>-863.28</v>
      </c>
      <c r="H12" s="35" t="n">
        <f aca="false">-H11</f>
        <v>-932.3424</v>
      </c>
      <c r="I12" s="35" t="n">
        <f aca="false">-I11</f>
        <v>-997.606368</v>
      </c>
      <c r="J12" s="35" t="n">
        <f aca="false">-J11</f>
        <v>-1057.46275008</v>
      </c>
    </row>
    <row r="13" customFormat="false" ht="15" hidden="false" customHeight="true" outlineLevel="0" collapsed="false">
      <c r="B13" s="4" t="s">
        <v>89</v>
      </c>
      <c r="C13" s="31" t="n">
        <f aca="false">C10+C12</f>
        <v>522.35</v>
      </c>
      <c r="D13" s="31" t="n">
        <f aca="false">D10+D12</f>
        <v>542.511404109589</v>
      </c>
      <c r="E13" s="31" t="n">
        <f aca="false">E10+E12</f>
        <v>824.165794520548</v>
      </c>
      <c r="F13" s="31" t="n">
        <f aca="false">F10+F12</f>
        <v>912.802776712328</v>
      </c>
      <c r="G13" s="31" t="n">
        <f aca="false">G10+G12</f>
        <v>1161.44154356164</v>
      </c>
      <c r="H13" s="31" t="n">
        <f aca="false">H10+H12</f>
        <v>1414.40564219178</v>
      </c>
      <c r="I13" s="31" t="n">
        <f aca="false">I10+I12</f>
        <v>1699.37751474959</v>
      </c>
      <c r="J13" s="31" t="n">
        <f aca="false">J10+J12</f>
        <v>1838.27101910832</v>
      </c>
    </row>
    <row r="14" customFormat="false" ht="15" hidden="false" customHeight="true" outlineLevel="0" collapsed="false">
      <c r="B14" s="14" t="s">
        <v>90</v>
      </c>
      <c r="C14" s="29" t="n">
        <f aca="false">Assumptions!$C$78</f>
        <v>3000</v>
      </c>
      <c r="D14" s="29" t="n">
        <f aca="false">C21</f>
        <v>3119.88</v>
      </c>
      <c r="E14" s="29" t="n">
        <f aca="false">D21</f>
        <v>3218.88090410959</v>
      </c>
      <c r="F14" s="29" t="n">
        <f aca="false">E21</f>
        <v>3536.94449863014</v>
      </c>
      <c r="G14" s="29" t="n">
        <f aca="false">F21</f>
        <v>3910.32129534246</v>
      </c>
      <c r="H14" s="29" t="n">
        <f aca="false">G21</f>
        <v>4477.29060690411</v>
      </c>
      <c r="I14" s="29" t="n">
        <f aca="false">H21</f>
        <v>5240.22393709589</v>
      </c>
      <c r="J14" s="29" t="n">
        <f aca="false">I21</f>
        <v>6230.17382091748</v>
      </c>
    </row>
    <row r="15" customFormat="false" ht="15" hidden="false" customHeight="true" outlineLevel="0" collapsed="false">
      <c r="B15" s="14" t="s">
        <v>91</v>
      </c>
      <c r="C15" s="29" t="n">
        <f aca="false">C14+C13-C16-C17</f>
        <v>3119.88</v>
      </c>
      <c r="D15" s="29" t="n">
        <f aca="false">D14+D13-D16-D17</f>
        <v>3218.88090410959</v>
      </c>
      <c r="E15" s="29" t="n">
        <f aca="false">E14+E13-E16-E17</f>
        <v>3536.94449863014</v>
      </c>
      <c r="F15" s="29" t="n">
        <f aca="false">F14+F13-F16-F17</f>
        <v>3910.32129534246</v>
      </c>
      <c r="G15" s="29" t="n">
        <f aca="false">G14+G13-G16-G17</f>
        <v>4477.29060690411</v>
      </c>
      <c r="H15" s="29" t="n">
        <f aca="false">H14+H13-H16-H17</f>
        <v>5240.22393709589</v>
      </c>
      <c r="I15" s="29" t="n">
        <f aca="false">I14+I13-I16-I17</f>
        <v>6230.17382091748</v>
      </c>
      <c r="J15" s="29" t="n">
        <f aca="false">J14+J13-J16-J17</f>
        <v>7329.11969320051</v>
      </c>
    </row>
    <row r="16" customFormat="false" ht="15" hidden="false" customHeight="true" outlineLevel="0" collapsed="false">
      <c r="B16" s="14" t="s">
        <v>63</v>
      </c>
      <c r="C16" s="28" t="n">
        <f aca="false">'Income Statement'!C19</f>
        <v>152.47</v>
      </c>
      <c r="D16" s="28" t="n">
        <f aca="false">'Income Statement'!D19</f>
        <v>193.5105</v>
      </c>
      <c r="E16" s="28" t="n">
        <f aca="false">'Income Statement'!E19</f>
        <v>256.1022</v>
      </c>
      <c r="F16" s="28" t="n">
        <f aca="false">'Income Statement'!F19</f>
        <v>289.42598</v>
      </c>
      <c r="G16" s="28" t="n">
        <f aca="false">'Income Statement'!G19</f>
        <v>344.472232</v>
      </c>
      <c r="H16" s="28" t="n">
        <f aca="false">'Income Statement'!H19</f>
        <v>401.472312</v>
      </c>
      <c r="I16" s="28" t="n">
        <f aca="false">'Income Statement'!I19</f>
        <v>459.427630928</v>
      </c>
      <c r="J16" s="28" t="n">
        <f aca="false">'Income Statement'!J19</f>
        <v>489.32514682528</v>
      </c>
    </row>
    <row r="17" customFormat="false" ht="15" hidden="false" customHeight="true" outlineLevel="0" collapsed="false">
      <c r="B17" s="14" t="s">
        <v>92</v>
      </c>
      <c r="C17" s="28" t="n">
        <f aca="false">'Debt Schedule'!C14</f>
        <v>250</v>
      </c>
      <c r="D17" s="28" t="n">
        <f aca="false">'Debt Schedule'!D14</f>
        <v>250</v>
      </c>
      <c r="E17" s="28" t="n">
        <f aca="false">'Debt Schedule'!E14</f>
        <v>250</v>
      </c>
      <c r="F17" s="28" t="n">
        <f aca="false">'Debt Schedule'!F14</f>
        <v>250</v>
      </c>
      <c r="G17" s="28" t="n">
        <f aca="false">'Debt Schedule'!G14</f>
        <v>250</v>
      </c>
      <c r="H17" s="28" t="n">
        <f aca="false">'Debt Schedule'!H14</f>
        <v>250</v>
      </c>
      <c r="I17" s="28" t="n">
        <f aca="false">'Debt Schedule'!I14</f>
        <v>250</v>
      </c>
      <c r="J17" s="28" t="n">
        <f aca="false">'Debt Schedule'!J14</f>
        <v>250</v>
      </c>
    </row>
    <row r="18" customFormat="false" ht="15" hidden="false" customHeight="true" outlineLevel="0" collapsed="false">
      <c r="B18" s="14" t="s">
        <v>93</v>
      </c>
      <c r="C18" s="28" t="n">
        <f aca="false">'Debt Schedule'!C17</f>
        <v>0</v>
      </c>
      <c r="D18" s="28" t="n">
        <f aca="false">'Debt Schedule'!D17</f>
        <v>0</v>
      </c>
      <c r="E18" s="28" t="n">
        <f aca="false">'Debt Schedule'!E17</f>
        <v>0</v>
      </c>
      <c r="F18" s="28" t="n">
        <f aca="false">'Debt Schedule'!F17</f>
        <v>0</v>
      </c>
      <c r="G18" s="28" t="n">
        <f aca="false">'Debt Schedule'!G17</f>
        <v>0</v>
      </c>
      <c r="H18" s="28" t="n">
        <f aca="false">'Debt Schedule'!H17</f>
        <v>0</v>
      </c>
      <c r="I18" s="28" t="n">
        <f aca="false">'Debt Schedule'!I17</f>
        <v>0</v>
      </c>
      <c r="J18" s="28" t="n">
        <f aca="false">'Debt Schedule'!J17</f>
        <v>0</v>
      </c>
    </row>
    <row r="19" customFormat="false" ht="15" hidden="false" customHeight="true" outlineLevel="0" collapsed="false">
      <c r="B19" s="4" t="s">
        <v>94</v>
      </c>
      <c r="C19" s="31" t="n">
        <f aca="false">-C16-C17+C18</f>
        <v>-402.47</v>
      </c>
      <c r="D19" s="31" t="n">
        <f aca="false">-D16-D17+D18</f>
        <v>-443.5105</v>
      </c>
      <c r="E19" s="31" t="n">
        <f aca="false">-E16-E17+E18</f>
        <v>-506.1022</v>
      </c>
      <c r="F19" s="31" t="n">
        <f aca="false">-F16-F17+F18</f>
        <v>-539.42598</v>
      </c>
      <c r="G19" s="31" t="n">
        <f aca="false">-G16-G17+G18</f>
        <v>-594.472232</v>
      </c>
      <c r="H19" s="31" t="n">
        <f aca="false">-H16-H17+H18</f>
        <v>-651.472312</v>
      </c>
      <c r="I19" s="31" t="n">
        <f aca="false">-I16-I17+I18</f>
        <v>-709.427630928</v>
      </c>
      <c r="J19" s="31" t="n">
        <f aca="false">-J16-J17+J18</f>
        <v>-739.32514682528</v>
      </c>
    </row>
    <row r="20" customFormat="false" ht="15" hidden="false" customHeight="true" outlineLevel="0" collapsed="false">
      <c r="B20" s="4" t="s">
        <v>95</v>
      </c>
      <c r="C20" s="35" t="n">
        <f aca="false">C10+C12+C19</f>
        <v>119.88</v>
      </c>
      <c r="D20" s="35" t="n">
        <f aca="false">D10+D12+D19</f>
        <v>99.0009041095892</v>
      </c>
      <c r="E20" s="35" t="n">
        <f aca="false">E10+E12+E19</f>
        <v>318.063594520548</v>
      </c>
      <c r="F20" s="35" t="n">
        <f aca="false">F10+F12+F19</f>
        <v>373.376796712328</v>
      </c>
      <c r="G20" s="35" t="n">
        <f aca="false">G10+G12+G19</f>
        <v>566.969311561644</v>
      </c>
      <c r="H20" s="35" t="n">
        <f aca="false">H10+H12+H19</f>
        <v>762.93333019178</v>
      </c>
      <c r="I20" s="35" t="n">
        <f aca="false">I10+I12+I19</f>
        <v>989.94988382159</v>
      </c>
      <c r="J20" s="35" t="n">
        <f aca="false">J10+J12+J19</f>
        <v>1098.94587228304</v>
      </c>
    </row>
    <row r="21" customFormat="false" ht="15" hidden="false" customHeight="true" outlineLevel="0" collapsed="false">
      <c r="B21" s="4" t="s">
        <v>96</v>
      </c>
      <c r="C21" s="31" t="n">
        <f aca="false">C14+C20</f>
        <v>3119.88</v>
      </c>
      <c r="D21" s="31" t="n">
        <f aca="false">D14+D20</f>
        <v>3218.88090410959</v>
      </c>
      <c r="E21" s="31" t="n">
        <f aca="false">E14+E20</f>
        <v>3536.94449863014</v>
      </c>
      <c r="F21" s="31" t="n">
        <f aca="false">F14+F20</f>
        <v>3910.32129534246</v>
      </c>
      <c r="G21" s="31" t="n">
        <f aca="false">G14+G20</f>
        <v>4477.29060690411</v>
      </c>
      <c r="H21" s="31" t="n">
        <f aca="false">H14+H20</f>
        <v>5240.22393709589</v>
      </c>
      <c r="I21" s="31" t="n">
        <f aca="false">I14+I20</f>
        <v>6230.17382091748</v>
      </c>
      <c r="J21" s="31" t="n">
        <f aca="false">J14+J20</f>
        <v>7329.11969320052</v>
      </c>
    </row>
    <row r="23" customFormat="false" ht="15" hidden="false" customHeight="true" outlineLevel="0" collapsed="false">
      <c r="B23" s="4" t="s">
        <v>97</v>
      </c>
      <c r="C23" s="34" t="n">
        <f aca="false">C21-'Balance Sheet'!C8</f>
        <v>0</v>
      </c>
      <c r="D23" s="34" t="n">
        <f aca="false">D21-'Balance Sheet'!D8</f>
        <v>0</v>
      </c>
      <c r="E23" s="34" t="n">
        <f aca="false">E21-'Balance Sheet'!E8</f>
        <v>0</v>
      </c>
      <c r="F23" s="34" t="n">
        <f aca="false">F21-'Balance Sheet'!F8</f>
        <v>0</v>
      </c>
      <c r="G23" s="34" t="n">
        <f aca="false">G21-'Balance Sheet'!G8</f>
        <v>0</v>
      </c>
      <c r="H23" s="34" t="n">
        <f aca="false">H21-'Balance Sheet'!H8</f>
        <v>0</v>
      </c>
      <c r="I23" s="34" t="n">
        <f aca="false">I21-'Balance Sheet'!I8</f>
        <v>0</v>
      </c>
      <c r="J23" s="34" t="n">
        <f aca="false">J21-'Balance Sheet'!J8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B2:J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10" min="3" style="1" width="13"/>
  </cols>
  <sheetData>
    <row r="2" customFormat="false" ht="17.25" hidden="false" customHeight="true" outlineLevel="0" collapsed="false">
      <c r="B2" s="2" t="s">
        <v>98</v>
      </c>
    </row>
    <row r="3" customFormat="false" ht="15" hidden="false" customHeight="true" outlineLevel="0" collapsed="false">
      <c r="B3" s="3" t="s">
        <v>99</v>
      </c>
    </row>
    <row r="5" customFormat="false" ht="15" hidden="false" customHeight="true" outlineLevel="0" collapsed="false">
      <c r="B5" s="3" t="s">
        <v>50</v>
      </c>
      <c r="C5" s="27" t="n">
        <f aca="false">Assumptions!C$5</f>
        <v>2023</v>
      </c>
      <c r="D5" s="27" t="n">
        <f aca="false">Assumptions!D$5</f>
        <v>2024</v>
      </c>
      <c r="E5" s="27" t="n">
        <f aca="false">Assumptions!E$5</f>
        <v>2025</v>
      </c>
      <c r="F5" s="27" t="n">
        <f aca="false">Assumptions!F$5</f>
        <v>2026</v>
      </c>
      <c r="G5" s="27" t="n">
        <f aca="false">Assumptions!G$5</f>
        <v>2027</v>
      </c>
      <c r="H5" s="27" t="n">
        <f aca="false">Assumptions!H$5</f>
        <v>2028</v>
      </c>
      <c r="I5" s="27" t="n">
        <f aca="false">Assumptions!I$5</f>
        <v>2029</v>
      </c>
      <c r="J5" s="27" t="n">
        <f aca="false">Assumptions!J$5</f>
        <v>2030</v>
      </c>
    </row>
    <row r="7" customFormat="false" ht="15" hidden="false" customHeight="true" outlineLevel="0" collapsed="false">
      <c r="B7" s="14" t="s">
        <v>100</v>
      </c>
      <c r="C7" s="29" t="n">
        <f aca="false">'Income Statement'!C7*Assumptions!$C$59*6</f>
        <v>3600</v>
      </c>
      <c r="D7" s="29" t="n">
        <f aca="false">C10</f>
        <v>3840</v>
      </c>
      <c r="E7" s="29" t="n">
        <f aca="false">D10</f>
        <v>4116</v>
      </c>
      <c r="F7" s="29" t="n">
        <f aca="false">E10</f>
        <v>4424.4</v>
      </c>
      <c r="G7" s="29" t="n">
        <f aca="false">F10</f>
        <v>4773.96</v>
      </c>
      <c r="H7" s="29" t="n">
        <f aca="false">G10</f>
        <v>5159.844</v>
      </c>
      <c r="I7" s="29" t="n">
        <f aca="false">H10</f>
        <v>5576.202</v>
      </c>
      <c r="J7" s="29" t="n">
        <f aca="false">I10</f>
        <v>6016.188168</v>
      </c>
    </row>
    <row r="8" customFormat="false" ht="15" hidden="false" customHeight="true" outlineLevel="0" collapsed="false">
      <c r="B8" s="14" t="s">
        <v>101</v>
      </c>
      <c r="C8" s="29" t="n">
        <f aca="false">'Income Statement'!C7*Assumptions!$C$59</f>
        <v>600</v>
      </c>
      <c r="D8" s="29" t="n">
        <f aca="false">'Income Statement'!D7*Assumptions!$D$59</f>
        <v>660</v>
      </c>
      <c r="E8" s="29" t="n">
        <f aca="false">'Income Statement'!E7*Assumptions!$E$59</f>
        <v>720</v>
      </c>
      <c r="F8" s="29" t="n">
        <f aca="false">'Income Statement'!F7*Assumptions!$F$59</f>
        <v>792</v>
      </c>
      <c r="G8" s="29" t="n">
        <f aca="false">'Income Statement'!G7*Assumptions!$G$59</f>
        <v>863.28</v>
      </c>
      <c r="H8" s="29" t="n">
        <f aca="false">'Income Statement'!H7*Assumptions!$H$59</f>
        <v>932.3424</v>
      </c>
      <c r="I8" s="29" t="n">
        <f aca="false">'Income Statement'!I7*Assumptions!$I$59</f>
        <v>997.606368</v>
      </c>
      <c r="J8" s="29" t="n">
        <f aca="false">'Income Statement'!J7*Assumptions!$J$59</f>
        <v>1057.46275008</v>
      </c>
    </row>
    <row r="9" customFormat="false" ht="15" hidden="false" customHeight="true" outlineLevel="0" collapsed="false">
      <c r="B9" s="14" t="s">
        <v>102</v>
      </c>
      <c r="C9" s="29" t="n">
        <f aca="false">C7/$C$11</f>
        <v>360</v>
      </c>
      <c r="D9" s="29" t="n">
        <f aca="false">D7/$C$11</f>
        <v>384</v>
      </c>
      <c r="E9" s="29" t="n">
        <f aca="false">E7/$C$11</f>
        <v>411.6</v>
      </c>
      <c r="F9" s="29" t="n">
        <f aca="false">F7/$C$11</f>
        <v>442.44</v>
      </c>
      <c r="G9" s="29" t="n">
        <f aca="false">G7/$C$11</f>
        <v>477.396</v>
      </c>
      <c r="H9" s="29" t="n">
        <f aca="false">H7/$C$11</f>
        <v>515.9844</v>
      </c>
      <c r="I9" s="29" t="n">
        <f aca="false">I7/$C$11</f>
        <v>557.6202</v>
      </c>
      <c r="J9" s="29" t="n">
        <f aca="false">J7/$C$11</f>
        <v>601.6188168</v>
      </c>
    </row>
    <row r="10" customFormat="false" ht="15" hidden="false" customHeight="true" outlineLevel="0" collapsed="false">
      <c r="B10" s="4" t="s">
        <v>103</v>
      </c>
      <c r="C10" s="31" t="n">
        <f aca="false">C7+C8-C9</f>
        <v>3840</v>
      </c>
      <c r="D10" s="31" t="n">
        <f aca="false">D7+D8-D9</f>
        <v>4116</v>
      </c>
      <c r="E10" s="31" t="n">
        <f aca="false">E7+E8-E9</f>
        <v>4424.4</v>
      </c>
      <c r="F10" s="31" t="n">
        <f aca="false">F7+F8-F9</f>
        <v>4773.96</v>
      </c>
      <c r="G10" s="31" t="n">
        <f aca="false">G7+G8-G9</f>
        <v>5159.844</v>
      </c>
      <c r="H10" s="31" t="n">
        <f aca="false">H7+H8-H9</f>
        <v>5576.202</v>
      </c>
      <c r="I10" s="31" t="n">
        <f aca="false">I7+I8-I9</f>
        <v>6016.188168</v>
      </c>
      <c r="J10" s="31" t="n">
        <f aca="false">J7+J8-J9</f>
        <v>6472.03210128</v>
      </c>
    </row>
    <row r="11" customFormat="false" ht="15" hidden="false" customHeight="true" outlineLevel="0" collapsed="false">
      <c r="B11" s="36" t="s">
        <v>104</v>
      </c>
      <c r="C11" s="9" t="n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B2:J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10" min="3" style="1" width="13"/>
  </cols>
  <sheetData>
    <row r="2" customFormat="false" ht="17.25" hidden="false" customHeight="true" outlineLevel="0" collapsed="false">
      <c r="B2" s="2" t="s">
        <v>105</v>
      </c>
    </row>
    <row r="3" customFormat="false" ht="15" hidden="false" customHeight="true" outlineLevel="0" collapsed="false">
      <c r="B3" s="3" t="s">
        <v>106</v>
      </c>
    </row>
    <row r="5" customFormat="false" ht="15" hidden="false" customHeight="true" outlineLevel="0" collapsed="false">
      <c r="B5" s="7" t="s">
        <v>107</v>
      </c>
      <c r="C5" s="8"/>
      <c r="D5" s="8"/>
      <c r="E5" s="8"/>
      <c r="F5" s="8"/>
      <c r="G5" s="8"/>
      <c r="H5" s="8"/>
      <c r="I5" s="8"/>
      <c r="J5" s="8"/>
    </row>
    <row r="6" customFormat="false" ht="15" hidden="false" customHeight="true" outlineLevel="0" collapsed="false">
      <c r="B6" s="14" t="s">
        <v>108</v>
      </c>
      <c r="C6" s="26" t="n">
        <v>5000</v>
      </c>
    </row>
    <row r="7" customFormat="false" ht="15" hidden="false" customHeight="true" outlineLevel="0" collapsed="false">
      <c r="B7" s="14" t="s">
        <v>109</v>
      </c>
      <c r="C7" s="26" t="n">
        <v>250</v>
      </c>
    </row>
    <row r="8" customFormat="false" ht="15" hidden="false" customHeight="true" outlineLevel="0" collapsed="false">
      <c r="B8" s="14" t="s">
        <v>110</v>
      </c>
      <c r="C8" s="12" t="n">
        <v>0.055</v>
      </c>
    </row>
    <row r="9" customFormat="false" ht="15" hidden="false" customHeight="true" outlineLevel="0" collapsed="false">
      <c r="B9" s="14" t="s">
        <v>111</v>
      </c>
      <c r="C9" s="12" t="n">
        <v>0.065</v>
      </c>
    </row>
    <row r="10" customFormat="false" ht="15" hidden="false" customHeight="true" outlineLevel="0" collapsed="false">
      <c r="B10" s="14" t="s">
        <v>112</v>
      </c>
      <c r="C10" s="26" t="n">
        <v>1000</v>
      </c>
    </row>
    <row r="12" customFormat="false" ht="15" hidden="false" customHeight="true" outlineLevel="0" collapsed="false">
      <c r="B12" s="7"/>
      <c r="C12" s="37" t="n">
        <f aca="false">Assumptions!C$5</f>
        <v>2023</v>
      </c>
      <c r="D12" s="37" t="n">
        <f aca="false">Assumptions!D$5</f>
        <v>2024</v>
      </c>
      <c r="E12" s="37" t="n">
        <f aca="false">Assumptions!E$5</f>
        <v>2025</v>
      </c>
      <c r="F12" s="37" t="n">
        <f aca="false">Assumptions!F$5</f>
        <v>2026</v>
      </c>
      <c r="G12" s="37" t="n">
        <f aca="false">Assumptions!G$5</f>
        <v>2027</v>
      </c>
      <c r="H12" s="37" t="n">
        <f aca="false">Assumptions!H$5</f>
        <v>2028</v>
      </c>
      <c r="I12" s="37" t="n">
        <f aca="false">Assumptions!I$5</f>
        <v>2029</v>
      </c>
      <c r="J12" s="37" t="n">
        <f aca="false">Assumptions!J$5</f>
        <v>2030</v>
      </c>
    </row>
    <row r="13" customFormat="false" ht="15" hidden="false" customHeight="true" outlineLevel="0" collapsed="false">
      <c r="B13" s="14" t="s">
        <v>113</v>
      </c>
      <c r="C13" s="29" t="n">
        <f aca="false">$C$6</f>
        <v>5000</v>
      </c>
      <c r="D13" s="29" t="n">
        <f aca="false">C15</f>
        <v>4750</v>
      </c>
      <c r="E13" s="29" t="n">
        <f aca="false">D15</f>
        <v>4500</v>
      </c>
      <c r="F13" s="29" t="n">
        <f aca="false">E15</f>
        <v>4250</v>
      </c>
      <c r="G13" s="29" t="n">
        <f aca="false">F15</f>
        <v>4000</v>
      </c>
      <c r="H13" s="29" t="n">
        <f aca="false">G15</f>
        <v>3750</v>
      </c>
      <c r="I13" s="29" t="n">
        <f aca="false">H15</f>
        <v>3500</v>
      </c>
      <c r="J13" s="29" t="n">
        <f aca="false">I15</f>
        <v>3250</v>
      </c>
    </row>
    <row r="14" customFormat="false" ht="15" hidden="false" customHeight="true" outlineLevel="0" collapsed="false">
      <c r="B14" s="14" t="s">
        <v>114</v>
      </c>
      <c r="C14" s="29" t="n">
        <f aca="false">MIN($C$7,C13)</f>
        <v>250</v>
      </c>
      <c r="D14" s="29" t="n">
        <f aca="false">MIN($C$7,D13)</f>
        <v>250</v>
      </c>
      <c r="E14" s="29" t="n">
        <f aca="false">MIN($C$7,E13)</f>
        <v>250</v>
      </c>
      <c r="F14" s="29" t="n">
        <f aca="false">MIN($C$7,F13)</f>
        <v>250</v>
      </c>
      <c r="G14" s="29" t="n">
        <f aca="false">MIN($C$7,G13)</f>
        <v>250</v>
      </c>
      <c r="H14" s="29" t="n">
        <f aca="false">MIN($C$7,H13)</f>
        <v>250</v>
      </c>
      <c r="I14" s="29" t="n">
        <f aca="false">MIN($C$7,I13)</f>
        <v>250</v>
      </c>
      <c r="J14" s="29" t="n">
        <f aca="false">MIN($C$7,J13)</f>
        <v>250</v>
      </c>
    </row>
    <row r="15" customFormat="false" ht="15" hidden="false" customHeight="true" outlineLevel="0" collapsed="false">
      <c r="B15" s="4" t="s">
        <v>115</v>
      </c>
      <c r="C15" s="31" t="n">
        <f aca="false">C13-C14</f>
        <v>4750</v>
      </c>
      <c r="D15" s="31" t="n">
        <f aca="false">D13-D14</f>
        <v>4500</v>
      </c>
      <c r="E15" s="31" t="n">
        <f aca="false">E13-E14</f>
        <v>4250</v>
      </c>
      <c r="F15" s="31" t="n">
        <f aca="false">F13-F14</f>
        <v>4000</v>
      </c>
      <c r="G15" s="31" t="n">
        <f aca="false">G13-G14</f>
        <v>3750</v>
      </c>
      <c r="H15" s="31" t="n">
        <f aca="false">H13-H14</f>
        <v>3500</v>
      </c>
      <c r="I15" s="31" t="n">
        <f aca="false">I13-I14</f>
        <v>3250</v>
      </c>
      <c r="J15" s="31" t="n">
        <f aca="false">J13-J14</f>
        <v>3000</v>
      </c>
    </row>
    <row r="16" customFormat="false" ht="15" hidden="false" customHeight="true" outlineLevel="0" collapsed="false">
      <c r="B16" s="14" t="s">
        <v>116</v>
      </c>
      <c r="C16" s="29" t="n">
        <v>0</v>
      </c>
      <c r="D16" s="29" t="n">
        <f aca="false">C18</f>
        <v>0</v>
      </c>
      <c r="E16" s="29" t="n">
        <f aca="false">D18</f>
        <v>0</v>
      </c>
      <c r="F16" s="29" t="n">
        <f aca="false">E18</f>
        <v>0</v>
      </c>
      <c r="G16" s="29" t="n">
        <f aca="false">F18</f>
        <v>0</v>
      </c>
      <c r="H16" s="29" t="n">
        <f aca="false">G18</f>
        <v>0</v>
      </c>
      <c r="I16" s="29" t="n">
        <f aca="false">H18</f>
        <v>0</v>
      </c>
      <c r="J16" s="29" t="n">
        <f aca="false">I18</f>
        <v>0</v>
      </c>
    </row>
    <row r="17" customFormat="false" ht="15" hidden="false" customHeight="true" outlineLevel="0" collapsed="false">
      <c r="B17" s="14" t="s">
        <v>117</v>
      </c>
      <c r="C17" s="29" t="n">
        <f aca="false">MAX(0,$C$10-C22)-MIN(C16,MAX(0,C22-$C$10))</f>
        <v>0</v>
      </c>
      <c r="D17" s="29" t="n">
        <f aca="false">MAX(0,$C$10-D22)-MIN(D16,MAX(0,D22-$C$10))</f>
        <v>0</v>
      </c>
      <c r="E17" s="29" t="n">
        <f aca="false">MAX(0,$C$10-E22)-MIN(E16,MAX(0,E22-$C$10))</f>
        <v>0</v>
      </c>
      <c r="F17" s="29" t="n">
        <f aca="false">MAX(0,$C$10-F22)-MIN(F16,MAX(0,F22-$C$10))</f>
        <v>0</v>
      </c>
      <c r="G17" s="29" t="n">
        <f aca="false">MAX(0,$C$10-G22)-MIN(G16,MAX(0,G22-$C$10))</f>
        <v>0</v>
      </c>
      <c r="H17" s="29" t="n">
        <f aca="false">MAX(0,$C$10-H22)-MIN(H16,MAX(0,H22-$C$10))</f>
        <v>0</v>
      </c>
      <c r="I17" s="29" t="n">
        <f aca="false">MAX(0,$C$10-I22)-MIN(I16,MAX(0,I22-$C$10))</f>
        <v>0</v>
      </c>
      <c r="J17" s="29" t="n">
        <f aca="false">MAX(0,$C$10-J22)-MIN(J16,MAX(0,J22-$C$10))</f>
        <v>0</v>
      </c>
    </row>
    <row r="18" customFormat="false" ht="15" hidden="false" customHeight="true" outlineLevel="0" collapsed="false">
      <c r="B18" s="4" t="s">
        <v>118</v>
      </c>
      <c r="C18" s="31" t="n">
        <f aca="false">C16+C17</f>
        <v>0</v>
      </c>
      <c r="D18" s="31" t="n">
        <f aca="false">D16+D17</f>
        <v>0</v>
      </c>
      <c r="E18" s="31" t="n">
        <f aca="false">E16+E17</f>
        <v>0</v>
      </c>
      <c r="F18" s="31" t="n">
        <f aca="false">F16+F17</f>
        <v>0</v>
      </c>
      <c r="G18" s="31" t="n">
        <f aca="false">G16+G17</f>
        <v>0</v>
      </c>
      <c r="H18" s="31" t="n">
        <f aca="false">H16+H17</f>
        <v>0</v>
      </c>
      <c r="I18" s="31" t="n">
        <f aca="false">I16+I17</f>
        <v>0</v>
      </c>
      <c r="J18" s="31" t="n">
        <f aca="false">J16+J17</f>
        <v>0</v>
      </c>
    </row>
    <row r="19" customFormat="false" ht="15" hidden="false" customHeight="true" outlineLevel="0" collapsed="false">
      <c r="B19" s="4" t="s">
        <v>119</v>
      </c>
      <c r="C19" s="31" t="n">
        <f aca="false">C15+C18</f>
        <v>4750</v>
      </c>
      <c r="D19" s="31" t="n">
        <f aca="false">D15+D18</f>
        <v>4500</v>
      </c>
      <c r="E19" s="31" t="n">
        <f aca="false">E15+E18</f>
        <v>4250</v>
      </c>
      <c r="F19" s="31" t="n">
        <f aca="false">F15+F18</f>
        <v>4000</v>
      </c>
      <c r="G19" s="31" t="n">
        <f aca="false">G15+G18</f>
        <v>3750</v>
      </c>
      <c r="H19" s="31" t="n">
        <f aca="false">H15+H18</f>
        <v>3500</v>
      </c>
      <c r="I19" s="31" t="n">
        <f aca="false">I15+I18</f>
        <v>3250</v>
      </c>
      <c r="J19" s="31" t="n">
        <f aca="false">J15+J18</f>
        <v>3000</v>
      </c>
    </row>
    <row r="20" customFormat="false" ht="15" hidden="false" customHeight="true" outlineLevel="0" collapsed="false">
      <c r="B20" s="14" t="s">
        <v>120</v>
      </c>
      <c r="C20" s="29" t="n">
        <f aca="false">IF(Assumptions!$C$73=1,(C13+C15)/2+(C16+C18)/2,C13+C16)</f>
        <v>5000</v>
      </c>
      <c r="D20" s="29" t="n">
        <f aca="false">IF(Assumptions!$C$73=1,(D13+D15)/2+(D16+D18)/2,D13+D16)</f>
        <v>4750</v>
      </c>
      <c r="E20" s="29" t="n">
        <f aca="false">IF(Assumptions!$C$73=1,(E13+E15)/2+(E16+E18)/2,E13+E16)</f>
        <v>4500</v>
      </c>
      <c r="F20" s="29" t="n">
        <f aca="false">IF(Assumptions!$C$73=1,(F13+F15)/2+(F16+F18)/2,F13+F16)</f>
        <v>4250</v>
      </c>
      <c r="G20" s="29" t="n">
        <f aca="false">IF(Assumptions!$C$73=1,(G13+G15)/2+(G16+G18)/2,G13+G16)</f>
        <v>4000</v>
      </c>
      <c r="H20" s="29" t="n">
        <f aca="false">IF(Assumptions!$C$73=1,(H13+H15)/2+(H16+H18)/2,H13+H16)</f>
        <v>3750</v>
      </c>
      <c r="I20" s="29" t="n">
        <f aca="false">IF(Assumptions!$C$73=1,(I13+I15)/2+(I16+I18)/2,I13+I16)</f>
        <v>3500</v>
      </c>
      <c r="J20" s="29" t="n">
        <f aca="false">IF(Assumptions!$C$73=1,(J13+J15)/2+(J16+J18)/2,J13+J16)</f>
        <v>3250</v>
      </c>
    </row>
    <row r="21" customFormat="false" ht="15" hidden="false" customHeight="true" outlineLevel="0" collapsed="false">
      <c r="B21" s="4" t="s">
        <v>121</v>
      </c>
      <c r="C21" s="38" t="n">
        <f aca="false">IF(Assumptions!$C$73=1,$C$8*(C13+C15)/2+$C$9*(C16+C18)/2,$C$8*C13+$C$9*C16)</f>
        <v>275</v>
      </c>
      <c r="D21" s="38" t="n">
        <f aca="false">IF(Assumptions!$C$73=1,$C$8*(D13+D15)/2+$C$9*(D16+D18)/2,$C$8*D13+$C$9*D16)</f>
        <v>261.25</v>
      </c>
      <c r="E21" s="38" t="n">
        <f aca="false">IF(Assumptions!$C$73=1,$C$8*(E13+E15)/2+$C$9*(E16+E18)/2,$C$8*E13+$C$9*E16)</f>
        <v>247.5</v>
      </c>
      <c r="F21" s="38" t="n">
        <f aca="false">IF(Assumptions!$C$73=1,$C$8*(F13+F15)/2+$C$9*(F16+F18)/2,$C$8*F13+$C$9*F16)</f>
        <v>233.75</v>
      </c>
      <c r="G21" s="38" t="n">
        <f aca="false">IF(Assumptions!$C$73=1,$C$8*(G13+G15)/2+$C$9*(G16+G18)/2,$C$8*G13+$C$9*G16)</f>
        <v>220</v>
      </c>
      <c r="H21" s="38" t="n">
        <f aca="false">IF(Assumptions!$C$73=1,$C$8*(H13+H15)/2+$C$9*(H16+H18)/2,$C$8*H13+$C$9*H16)</f>
        <v>206.25</v>
      </c>
      <c r="I21" s="38" t="n">
        <f aca="false">IF(Assumptions!$C$73=1,$C$8*(I13+I15)/2+$C$9*(I16+I18)/2,$C$8*I13+$C$9*I16)</f>
        <v>192.5</v>
      </c>
      <c r="J21" s="38" t="n">
        <f aca="false">IF(Assumptions!$C$73=1,$C$8*(J13+J15)/2+$C$9*(J16+J18)/2,$C$8*J13+$C$9*J16)</f>
        <v>178.75</v>
      </c>
    </row>
    <row r="22" customFormat="false" ht="15" hidden="false" customHeight="true" outlineLevel="0" collapsed="false">
      <c r="B22" s="14" t="s">
        <v>122</v>
      </c>
      <c r="C22" s="28" t="n">
        <f aca="false">'Cash Flow'!C15</f>
        <v>3119.88</v>
      </c>
      <c r="D22" s="28" t="n">
        <f aca="false">'Cash Flow'!D15</f>
        <v>3218.88090410959</v>
      </c>
      <c r="E22" s="28" t="n">
        <f aca="false">'Cash Flow'!E15</f>
        <v>3536.94449863014</v>
      </c>
      <c r="F22" s="28" t="n">
        <f aca="false">'Cash Flow'!F15</f>
        <v>3910.32129534246</v>
      </c>
      <c r="G22" s="28" t="n">
        <f aca="false">'Cash Flow'!G15</f>
        <v>4477.29060690411</v>
      </c>
      <c r="H22" s="28" t="n">
        <f aca="false">'Cash Flow'!H15</f>
        <v>5240.22393709589</v>
      </c>
      <c r="I22" s="28" t="n">
        <f aca="false">'Cash Flow'!I15</f>
        <v>6230.17382091748</v>
      </c>
      <c r="J22" s="28" t="n">
        <f aca="false">'Cash Flow'!J15</f>
        <v>7329.11969320051</v>
      </c>
    </row>
    <row r="24" customFormat="false" ht="15" hidden="false" customHeight="true" outlineLevel="0" collapsed="false">
      <c r="B24" s="7" t="s">
        <v>123</v>
      </c>
      <c r="C24" s="8"/>
      <c r="D24" s="8"/>
      <c r="E24" s="8"/>
      <c r="F24" s="8"/>
      <c r="G24" s="8"/>
      <c r="H24" s="8"/>
      <c r="I24" s="8"/>
      <c r="J24" s="8"/>
    </row>
    <row r="25" customFormat="false" ht="15" hidden="false" customHeight="true" outlineLevel="0" collapsed="false">
      <c r="B25" s="14" t="s">
        <v>124</v>
      </c>
      <c r="C25" s="39" t="n">
        <f aca="false">(C19-'Cash Flow'!C21)/'Income Statement'!C12</f>
        <v>1.018825</v>
      </c>
      <c r="D25" s="39" t="n">
        <f aca="false">(D19-'Cash Flow'!D21)/'Income Statement'!D12</f>
        <v>0.685090425609845</v>
      </c>
      <c r="E25" s="39" t="n">
        <f aca="false">(E19-'Cash Flow'!E21)/'Income Statement'!E12</f>
        <v>0.312743640951694</v>
      </c>
      <c r="F25" s="39" t="n">
        <f aca="false">(F19-'Cash Flow'!F21)/'Income Statement'!F12</f>
        <v>0.0357570592733395</v>
      </c>
      <c r="G25" s="39" t="n">
        <f aca="false">(G19-'Cash Flow'!G21)/'Income Statement'!G12</f>
        <v>-0.252742079129868</v>
      </c>
      <c r="H25" s="39" t="n">
        <f aca="false">(H19-'Cash Flow'!H21)/'Income Statement'!H12</f>
        <v>-0.533287812685827</v>
      </c>
      <c r="I25" s="39" t="n">
        <f aca="false">(I19-'Cash Flow'!I21)/'Income Statement'!I12</f>
        <v>-0.814724829855977</v>
      </c>
      <c r="J25" s="39" t="n">
        <f aca="false">(J19-'Cash Flow'!J21)/'Income Statement'!J12</f>
        <v>-1.11651120301607</v>
      </c>
    </row>
    <row r="26" customFormat="false" ht="15" hidden="false" customHeight="true" outlineLevel="0" collapsed="false">
      <c r="B26" s="14" t="s">
        <v>125</v>
      </c>
      <c r="C26" s="39" t="n">
        <f aca="false">'Income Statement'!C14/C21</f>
        <v>4.50909090909091</v>
      </c>
      <c r="D26" s="39" t="n">
        <f aca="false">'Income Statement'!D14/D21</f>
        <v>5.68803827751196</v>
      </c>
      <c r="E26" s="39" t="n">
        <f aca="false">'Income Statement'!E14/E21</f>
        <v>7.54909090909091</v>
      </c>
      <c r="F26" s="39" t="n">
        <f aca="false">'Income Statement'!F14/F21</f>
        <v>8.83662032085561</v>
      </c>
      <c r="G26" s="39" t="n">
        <f aca="false">'Income Statement'!G14/G21</f>
        <v>10.9100181818182</v>
      </c>
      <c r="H26" s="39" t="n">
        <f aca="false">'Income Statement'!H14/H21</f>
        <v>13.3198254545455</v>
      </c>
      <c r="I26" s="39" t="n">
        <f aca="false">'Income Statement'!I14/I21</f>
        <v>16.1052977454546</v>
      </c>
      <c r="J26" s="39" t="n">
        <f aca="false">'Income Statement'!J14/J21</f>
        <v>18.325843916979</v>
      </c>
    </row>
    <row r="27" customFormat="false" ht="15" hidden="false" customHeight="true" outlineLevel="0" collapsed="false">
      <c r="B27" s="14" t="s">
        <v>126</v>
      </c>
      <c r="C27" s="39" t="n">
        <f aca="false">'Income Statement'!C12/(C21+C14)</f>
        <v>3.04761904761905</v>
      </c>
      <c r="D27" s="39" t="n">
        <f aca="false">'Income Statement'!D12/(D21+D14)</f>
        <v>3.65770171149144</v>
      </c>
      <c r="E27" s="39" t="n">
        <f aca="false">'Income Statement'!E12/(E21+E14)</f>
        <v>4.58291457286432</v>
      </c>
      <c r="F27" s="39" t="n">
        <f aca="false">'Income Statement'!F12/(F21+F14)</f>
        <v>5.18449612403101</v>
      </c>
      <c r="G27" s="39" t="n">
        <f aca="false">'Income Statement'!G12/(G21+G14)</f>
        <v>6.12255319148936</v>
      </c>
      <c r="H27" s="39" t="n">
        <f aca="false">'Income Statement'!H12/(H21+H14)</f>
        <v>7.15221567123288</v>
      </c>
      <c r="I27" s="39" t="n">
        <f aca="false">'Income Statement'!I12/(I21+I14)</f>
        <v>8.26641811525424</v>
      </c>
      <c r="J27" s="39" t="n">
        <f aca="false">'Income Statement'!J12/(J21+J14)</f>
        <v>9.04341321739942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B2:J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10" min="3" style="1" width="13"/>
  </cols>
  <sheetData>
    <row r="2" customFormat="false" ht="17.25" hidden="false" customHeight="true" outlineLevel="0" collapsed="false">
      <c r="B2" s="2" t="s">
        <v>127</v>
      </c>
    </row>
    <row r="3" customFormat="false" ht="15" hidden="false" customHeight="true" outlineLevel="0" collapsed="false">
      <c r="B3" s="3" t="s">
        <v>128</v>
      </c>
    </row>
    <row r="5" customFormat="false" ht="15" hidden="false" customHeight="true" outlineLevel="0" collapsed="false">
      <c r="B5" s="3" t="s">
        <v>50</v>
      </c>
      <c r="C5" s="27" t="n">
        <f aca="false">Assumptions!C$5</f>
        <v>2023</v>
      </c>
      <c r="D5" s="27" t="n">
        <f aca="false">Assumptions!D$5</f>
        <v>2024</v>
      </c>
      <c r="E5" s="27" t="n">
        <f aca="false">Assumptions!E$5</f>
        <v>2025</v>
      </c>
      <c r="F5" s="27" t="n">
        <f aca="false">Assumptions!F$5</f>
        <v>2026</v>
      </c>
      <c r="G5" s="27" t="n">
        <f aca="false">Assumptions!G$5</f>
        <v>2027</v>
      </c>
      <c r="H5" s="27" t="n">
        <f aca="false">Assumptions!H$5</f>
        <v>2028</v>
      </c>
      <c r="I5" s="27" t="n">
        <f aca="false">Assumptions!I$5</f>
        <v>2029</v>
      </c>
      <c r="J5" s="27" t="n">
        <f aca="false">Assumptions!J$5</f>
        <v>2030</v>
      </c>
    </row>
    <row r="7" customFormat="false" ht="15" hidden="false" customHeight="true" outlineLevel="0" collapsed="false">
      <c r="B7" s="14" t="s">
        <v>129</v>
      </c>
      <c r="C7" s="29" t="n">
        <f aca="false">Assumptions!$C$51/365*'Income Statement'!C7</f>
        <v>1232.87671232877</v>
      </c>
      <c r="D7" s="29" t="n">
        <f aca="false">Assumptions!$D$51/365*'Income Statement'!D7</f>
        <v>1356.16438356164</v>
      </c>
      <c r="E7" s="29" t="n">
        <f aca="false">Assumptions!$E$51/365*'Income Statement'!E7</f>
        <v>1479.45205479452</v>
      </c>
      <c r="F7" s="29" t="n">
        <f aca="false">Assumptions!$F$51/365*'Income Statement'!F7</f>
        <v>1627.39726027397</v>
      </c>
      <c r="G7" s="29" t="n">
        <f aca="false">Assumptions!$G$51/365*'Income Statement'!G7</f>
        <v>1773.86301369863</v>
      </c>
      <c r="H7" s="29" t="n">
        <f aca="false">Assumptions!$H$51/365*'Income Statement'!H7</f>
        <v>1915.77205479452</v>
      </c>
      <c r="I7" s="29" t="n">
        <f aca="false">Assumptions!$I$51/365*'Income Statement'!I7</f>
        <v>2049.87609863014</v>
      </c>
      <c r="J7" s="29" t="n">
        <f aca="false">Assumptions!$J$51/365*'Income Statement'!J7</f>
        <v>2172.86866454795</v>
      </c>
    </row>
    <row r="8" customFormat="false" ht="15" hidden="false" customHeight="true" outlineLevel="0" collapsed="false">
      <c r="B8" s="14" t="s">
        <v>130</v>
      </c>
      <c r="C8" s="29" t="n">
        <f aca="false">Assumptions!$C$52/365*'Income Statement'!C8</f>
        <v>953.424657534247</v>
      </c>
      <c r="D8" s="29" t="n">
        <f aca="false">Assumptions!$D$52/365*'Income Statement'!D8</f>
        <v>1030.68493150685</v>
      </c>
      <c r="E8" s="29" t="n">
        <f aca="false">Assumptions!$E$52/365*'Income Statement'!E8</f>
        <v>1104.65753424658</v>
      </c>
      <c r="F8" s="29" t="n">
        <f aca="false">Assumptions!$F$52/365*'Income Statement'!F8</f>
        <v>1215.12328767123</v>
      </c>
      <c r="G8" s="29" t="n">
        <f aca="false">Assumptions!$G$52/365*'Income Statement'!G8</f>
        <v>1300.83287671233</v>
      </c>
      <c r="H8" s="29" t="n">
        <f aca="false">Assumptions!$H$52/365*'Income Statement'!H8</f>
        <v>1404.89950684932</v>
      </c>
      <c r="I8" s="29" t="n">
        <f aca="false">Assumptions!$I$52/365*'Income Statement'!I8</f>
        <v>1475.9107910137</v>
      </c>
      <c r="J8" s="29" t="n">
        <f aca="false">Assumptions!$J$52/365*'Income Statement'!J8</f>
        <v>1564.46543847452</v>
      </c>
    </row>
    <row r="9" customFormat="false" ht="15" hidden="false" customHeight="true" outlineLevel="0" collapsed="false">
      <c r="B9" s="14" t="s">
        <v>131</v>
      </c>
      <c r="C9" s="29" t="n">
        <f aca="false">Assumptions!$C$53/365*'Income Statement'!C8</f>
        <v>635.616438356164</v>
      </c>
      <c r="D9" s="29" t="n">
        <f aca="false">Assumptions!$D$53/365*'Income Statement'!D8</f>
        <v>687.123287671233</v>
      </c>
      <c r="E9" s="29" t="n">
        <f aca="false">Assumptions!$E$53/365*'Income Statement'!E8</f>
        <v>736.438356164384</v>
      </c>
      <c r="F9" s="29" t="n">
        <f aca="false">Assumptions!$F$53/365*'Income Statement'!F8</f>
        <v>810.082191780822</v>
      </c>
      <c r="G9" s="29" t="n">
        <f aca="false">Assumptions!$G$53/365*'Income Statement'!G8</f>
        <v>867.221917808219</v>
      </c>
      <c r="H9" s="29" t="n">
        <f aca="false">Assumptions!$H$53/365*'Income Statement'!H8</f>
        <v>936.599671232877</v>
      </c>
      <c r="I9" s="29" t="n">
        <f aca="false">Assumptions!$I$53/365*'Income Statement'!I8</f>
        <v>983.940527342466</v>
      </c>
      <c r="J9" s="29" t="n">
        <f aca="false">Assumptions!$J$53/365*'Income Statement'!J8</f>
        <v>1042.97695898301</v>
      </c>
    </row>
    <row r="10" customFormat="false" ht="15" hidden="false" customHeight="true" outlineLevel="0" collapsed="false">
      <c r="B10" s="4" t="s">
        <v>132</v>
      </c>
      <c r="C10" s="31" t="n">
        <f aca="false">C7+C8-C9</f>
        <v>1550.68493150685</v>
      </c>
      <c r="D10" s="31" t="n">
        <f aca="false">D7+D8-D9</f>
        <v>1699.72602739726</v>
      </c>
      <c r="E10" s="31" t="n">
        <f aca="false">E7+E8-E9</f>
        <v>1847.67123287671</v>
      </c>
      <c r="F10" s="31" t="n">
        <f aca="false">F7+F8-F9</f>
        <v>2032.43835616438</v>
      </c>
      <c r="G10" s="31" t="n">
        <f aca="false">G7+G8-G9</f>
        <v>2207.47397260274</v>
      </c>
      <c r="H10" s="31" t="n">
        <f aca="false">H7+H8-H9</f>
        <v>2384.07189041096</v>
      </c>
      <c r="I10" s="31" t="n">
        <f aca="false">I7+I8-I9</f>
        <v>2541.84636230137</v>
      </c>
      <c r="J10" s="31" t="n">
        <f aca="false">J7+J8-J9</f>
        <v>2694.35714403945</v>
      </c>
    </row>
    <row r="11" customFormat="false" ht="15" hidden="false" customHeight="true" outlineLevel="0" collapsed="false">
      <c r="B11" s="14" t="s">
        <v>133</v>
      </c>
      <c r="C11" s="29" t="s">
        <v>134</v>
      </c>
      <c r="D11" s="29" t="n">
        <f aca="false">D10-C10</f>
        <v>149.041095890411</v>
      </c>
      <c r="E11" s="29" t="n">
        <f aca="false">E10-D10</f>
        <v>147.945205479452</v>
      </c>
      <c r="F11" s="29" t="n">
        <f aca="false">F10-E10</f>
        <v>184.767123287671</v>
      </c>
      <c r="G11" s="29" t="n">
        <f aca="false">G10-F10</f>
        <v>175.035616438356</v>
      </c>
      <c r="H11" s="29" t="n">
        <f aca="false">H10-G10</f>
        <v>176.597917808219</v>
      </c>
      <c r="I11" s="29" t="n">
        <f aca="false">I10-H10</f>
        <v>157.774471890411</v>
      </c>
      <c r="J11" s="29" t="n">
        <f aca="false">J10-I10</f>
        <v>152.510781738083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B2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10" min="3" style="1" width="13"/>
  </cols>
  <sheetData>
    <row r="2" customFormat="false" ht="17.25" hidden="false" customHeight="true" outlineLevel="0" collapsed="false">
      <c r="B2" s="2" t="s">
        <v>135</v>
      </c>
    </row>
    <row r="3" customFormat="false" ht="15" hidden="false" customHeight="true" outlineLevel="0" collapsed="false">
      <c r="B3" s="3" t="s">
        <v>136</v>
      </c>
    </row>
    <row r="5" customFormat="false" ht="15" hidden="false" customHeight="true" outlineLevel="0" collapsed="false">
      <c r="B5" s="7" t="s">
        <v>137</v>
      </c>
      <c r="C5" s="8"/>
      <c r="D5" s="8"/>
      <c r="E5" s="8"/>
      <c r="F5" s="8"/>
      <c r="G5" s="8"/>
      <c r="H5" s="8"/>
      <c r="I5" s="8"/>
      <c r="J5" s="8"/>
    </row>
    <row r="6" customFormat="false" ht="15" hidden="false" customHeight="true" outlineLevel="0" collapsed="false">
      <c r="B6" s="14" t="s">
        <v>138</v>
      </c>
      <c r="C6" s="13" t="n">
        <f aca="false">Assumptions!$C$69+Assumptions!$F$65*Assumptions!$F$64</f>
        <v>0.08893</v>
      </c>
    </row>
    <row r="7" customFormat="false" ht="15" hidden="false" customHeight="true" outlineLevel="0" collapsed="false">
      <c r="B7" s="14" t="s">
        <v>139</v>
      </c>
      <c r="C7" s="13" t="n">
        <f aca="false">Assumptions!$C$70*(1-Assumptions!$F$42)</f>
        <v>0.0395</v>
      </c>
    </row>
    <row r="8" customFormat="false" ht="15" hidden="false" customHeight="true" outlineLevel="0" collapsed="false">
      <c r="B8" s="14" t="s">
        <v>140</v>
      </c>
      <c r="C8" s="13" t="n">
        <f aca="false">1-C9</f>
        <v>0.8</v>
      </c>
    </row>
    <row r="9" customFormat="false" ht="15" hidden="false" customHeight="true" outlineLevel="0" collapsed="false">
      <c r="B9" s="14" t="s">
        <v>141</v>
      </c>
      <c r="C9" s="13" t="n">
        <f aca="false">Assumptions!$C$71</f>
        <v>0.2</v>
      </c>
    </row>
    <row r="10" customFormat="false" ht="15" hidden="false" customHeight="true" outlineLevel="0" collapsed="false">
      <c r="B10" s="14" t="s">
        <v>142</v>
      </c>
      <c r="C10" s="40" t="n">
        <f aca="false">(1-Assumptions!$C$71)*(Assumptions!$C$69+Assumptions!$F$65*Assumptions!$F$64)+Assumptions!$C$71*(Assumptions!$C$70*(1-Assumptions!$F$42))</f>
        <v>0.079044</v>
      </c>
    </row>
    <row r="12" customFormat="false" ht="15" hidden="false" customHeight="true" outlineLevel="0" collapsed="false">
      <c r="B12" s="7" t="s">
        <v>143</v>
      </c>
      <c r="C12" s="8"/>
      <c r="D12" s="8"/>
      <c r="E12" s="8"/>
      <c r="F12" s="8"/>
      <c r="G12" s="8"/>
      <c r="H12" s="8"/>
      <c r="I12" s="8"/>
      <c r="J12" s="8"/>
    </row>
    <row r="13" customFormat="false" ht="15" hidden="false" customHeight="true" outlineLevel="0" collapsed="false">
      <c r="B13" s="14" t="s">
        <v>144</v>
      </c>
      <c r="C13" s="41" t="n">
        <f aca="false">Assumptions!F5</f>
        <v>2026</v>
      </c>
      <c r="D13" s="41" t="n">
        <f aca="false">Assumptions!G5</f>
        <v>2027</v>
      </c>
      <c r="E13" s="41" t="n">
        <f aca="false">Assumptions!H5</f>
        <v>2028</v>
      </c>
      <c r="F13" s="41" t="n">
        <f aca="false">Assumptions!I5</f>
        <v>2029</v>
      </c>
      <c r="G13" s="41" t="n">
        <f aca="false">Assumptions!J5</f>
        <v>2030</v>
      </c>
    </row>
    <row r="14" customFormat="false" ht="15" hidden="false" customHeight="true" outlineLevel="0" collapsed="false">
      <c r="B14" s="14" t="s">
        <v>145</v>
      </c>
      <c r="C14" s="28" t="n">
        <f aca="false">'Income Statement'!F14</f>
        <v>2065.56</v>
      </c>
      <c r="D14" s="28" t="n">
        <f aca="false">'Income Statement'!G14</f>
        <v>2400.204</v>
      </c>
      <c r="E14" s="28" t="n">
        <f aca="false">'Income Statement'!H14</f>
        <v>2747.214</v>
      </c>
      <c r="F14" s="28" t="n">
        <f aca="false">'Income Statement'!I14</f>
        <v>3100.269816</v>
      </c>
      <c r="G14" s="28" t="n">
        <f aca="false">'Income Statement'!J14</f>
        <v>3275.74460016</v>
      </c>
    </row>
    <row r="15" customFormat="false" ht="15" hidden="false" customHeight="true" outlineLevel="0" collapsed="false">
      <c r="B15" s="14" t="s">
        <v>146</v>
      </c>
      <c r="C15" s="29" t="n">
        <f aca="false">C14*Assumptions!$F$42</f>
        <v>433.7676</v>
      </c>
      <c r="D15" s="29" t="n">
        <f aca="false">D14*Assumptions!$G$42</f>
        <v>504.04284</v>
      </c>
      <c r="E15" s="29" t="n">
        <f aca="false">E14*Assumptions!$H$42</f>
        <v>576.91494</v>
      </c>
      <c r="F15" s="29" t="n">
        <f aca="false">F14*Assumptions!$I$42</f>
        <v>651.05666136</v>
      </c>
      <c r="G15" s="29" t="n">
        <f aca="false">G14*Assumptions!$J$42</f>
        <v>687.9063660336</v>
      </c>
    </row>
    <row r="16" customFormat="false" ht="15" hidden="false" customHeight="true" outlineLevel="0" collapsed="false">
      <c r="B16" s="14" t="s">
        <v>147</v>
      </c>
      <c r="C16" s="35" t="n">
        <f aca="false">C14-C15</f>
        <v>1631.7924</v>
      </c>
      <c r="D16" s="35" t="n">
        <f aca="false">D14-D15</f>
        <v>1896.16116</v>
      </c>
      <c r="E16" s="35" t="n">
        <f aca="false">E14-E15</f>
        <v>2170.29906</v>
      </c>
      <c r="F16" s="35" t="n">
        <f aca="false">F14-F15</f>
        <v>2449.21315464</v>
      </c>
      <c r="G16" s="35" t="n">
        <f aca="false">G14-G15</f>
        <v>2587.8382341264</v>
      </c>
    </row>
    <row r="17" customFormat="false" ht="15" hidden="false" customHeight="true" outlineLevel="0" collapsed="false">
      <c r="B17" s="14" t="s">
        <v>84</v>
      </c>
      <c r="C17" s="28" t="n">
        <f aca="false">'Income Statement'!F13</f>
        <v>442.44</v>
      </c>
      <c r="D17" s="28" t="n">
        <f aca="false">'Income Statement'!G13</f>
        <v>477.396</v>
      </c>
      <c r="E17" s="28" t="n">
        <f aca="false">'Income Statement'!H13</f>
        <v>515.9844</v>
      </c>
      <c r="F17" s="28" t="n">
        <f aca="false">'Income Statement'!I13</f>
        <v>557.6202</v>
      </c>
      <c r="G17" s="28" t="n">
        <f aca="false">'Income Statement'!J13</f>
        <v>601.6188168</v>
      </c>
    </row>
    <row r="18" customFormat="false" ht="15" hidden="false" customHeight="true" outlineLevel="0" collapsed="false">
      <c r="B18" s="14" t="s">
        <v>87</v>
      </c>
      <c r="C18" s="28" t="n">
        <f aca="false">'PP&amp;E Schedule'!F8</f>
        <v>792</v>
      </c>
      <c r="D18" s="28" t="n">
        <f aca="false">'PP&amp;E Schedule'!G8</f>
        <v>863.28</v>
      </c>
      <c r="E18" s="28" t="n">
        <f aca="false">'PP&amp;E Schedule'!H8</f>
        <v>932.3424</v>
      </c>
      <c r="F18" s="28" t="n">
        <f aca="false">'PP&amp;E Schedule'!I8</f>
        <v>997.606368</v>
      </c>
      <c r="G18" s="28" t="n">
        <f aca="false">'PP&amp;E Schedule'!J8</f>
        <v>1057.46275008</v>
      </c>
    </row>
    <row r="19" customFormat="false" ht="15" hidden="false" customHeight="true" outlineLevel="0" collapsed="false">
      <c r="B19" s="14" t="s">
        <v>148</v>
      </c>
      <c r="C19" s="28" t="n">
        <f aca="false">'WC Schedule'!F11</f>
        <v>184.767123287671</v>
      </c>
      <c r="D19" s="28" t="n">
        <f aca="false">'WC Schedule'!G11</f>
        <v>175.035616438356</v>
      </c>
      <c r="E19" s="28" t="n">
        <f aca="false">'WC Schedule'!H11</f>
        <v>176.597917808219</v>
      </c>
      <c r="F19" s="28" t="n">
        <f aca="false">'WC Schedule'!I11</f>
        <v>157.774471890411</v>
      </c>
      <c r="G19" s="28" t="n">
        <f aca="false">'WC Schedule'!J11</f>
        <v>152.510781738083</v>
      </c>
    </row>
    <row r="20" customFormat="false" ht="15" hidden="false" customHeight="true" outlineLevel="0" collapsed="false">
      <c r="B20" s="14" t="s">
        <v>149</v>
      </c>
      <c r="C20" s="35" t="n">
        <f aca="false">C16+C17-C18-C19</f>
        <v>1097.46527671233</v>
      </c>
      <c r="D20" s="35" t="n">
        <f aca="false">D16+D17-D18-D19</f>
        <v>1335.24154356164</v>
      </c>
      <c r="E20" s="35" t="n">
        <f aca="false">E16+E17-E18-E19</f>
        <v>1577.34314219178</v>
      </c>
      <c r="F20" s="35" t="n">
        <f aca="false">F16+F17-F18-F19</f>
        <v>1851.45251474959</v>
      </c>
      <c r="G20" s="35" t="n">
        <f aca="false">G16+G17-G18-G19</f>
        <v>1979.48351910832</v>
      </c>
    </row>
    <row r="21" customFormat="false" ht="15" hidden="false" customHeight="true" outlineLevel="0" collapsed="false">
      <c r="B21" s="14" t="s">
        <v>150</v>
      </c>
      <c r="C21" s="42" t="n">
        <f aca="false">1-Assumptions!$C$72*0.5</f>
        <v>0.5</v>
      </c>
      <c r="D21" s="42" t="n">
        <f aca="false">2-Assumptions!$C$72*0.5</f>
        <v>1.5</v>
      </c>
      <c r="E21" s="42" t="n">
        <f aca="false">3-Assumptions!$C$72*0.5</f>
        <v>2.5</v>
      </c>
      <c r="F21" s="42" t="n">
        <f aca="false">4-Assumptions!$C$72*0.5</f>
        <v>3.5</v>
      </c>
      <c r="G21" s="42" t="n">
        <f aca="false">5-Assumptions!$C$72*0.5</f>
        <v>4.5</v>
      </c>
    </row>
    <row r="22" customFormat="false" ht="15" hidden="false" customHeight="true" outlineLevel="0" collapsed="false">
      <c r="B22" s="14" t="s">
        <v>151</v>
      </c>
      <c r="C22" s="42" t="n">
        <f aca="false">1/(1+DCF!$C$10)^C21</f>
        <v>0.962676616519161</v>
      </c>
      <c r="D22" s="42" t="n">
        <f aca="false">1/(1+DCF!$C$10)^D21</f>
        <v>0.892156961643047</v>
      </c>
      <c r="E22" s="42" t="n">
        <f aca="false">1/(1+DCF!$C$10)^E21</f>
        <v>0.826803134666471</v>
      </c>
      <c r="F22" s="42" t="n">
        <f aca="false">1/(1+DCF!$C$10)^F21</f>
        <v>0.766236719416883</v>
      </c>
      <c r="G22" s="42" t="n">
        <f aca="false">1/(1+DCF!$C$10)^G21</f>
        <v>0.710107020118626</v>
      </c>
    </row>
    <row r="23" customFormat="false" ht="15" hidden="false" customHeight="true" outlineLevel="0" collapsed="false">
      <c r="B23" s="14" t="s">
        <v>152</v>
      </c>
      <c r="C23" s="29" t="n">
        <f aca="false">C20*C22</f>
        <v>1056.50415933269</v>
      </c>
      <c r="D23" s="29" t="n">
        <f aca="false">D20*D22</f>
        <v>1191.24503856353</v>
      </c>
      <c r="E23" s="29" t="n">
        <f aca="false">E20*E22</f>
        <v>1304.15225440882</v>
      </c>
      <c r="F23" s="29" t="n">
        <f aca="false">F20*F22</f>
        <v>1418.65090105786</v>
      </c>
      <c r="G23" s="29" t="n">
        <f aca="false">G20*G22</f>
        <v>1405.64514312794</v>
      </c>
    </row>
    <row r="25" customFormat="false" ht="15" hidden="false" customHeight="true" outlineLevel="0" collapsed="false">
      <c r="B25" s="7" t="s">
        <v>153</v>
      </c>
      <c r="C25" s="8"/>
      <c r="D25" s="8"/>
      <c r="E25" s="8"/>
      <c r="F25" s="8"/>
      <c r="G25" s="8"/>
      <c r="H25" s="8"/>
      <c r="I25" s="8"/>
      <c r="J25" s="8"/>
    </row>
    <row r="26" customFormat="false" ht="15" hidden="false" customHeight="true" outlineLevel="0" collapsed="false">
      <c r="B26" s="4" t="s">
        <v>154</v>
      </c>
      <c r="C26" s="35" t="n">
        <f aca="false">SUM(C23:G23)</f>
        <v>6376.19749649084</v>
      </c>
    </row>
    <row r="27" customFormat="false" ht="15" hidden="false" customHeight="true" outlineLevel="0" collapsed="false">
      <c r="B27" s="14" t="s">
        <v>155</v>
      </c>
      <c r="C27" s="29" t="n">
        <f aca="false">G20*(1+Assumptions!$F$63)/(DCF!$C$10-Assumptions!$F$63)</f>
        <v>37542.939217786</v>
      </c>
    </row>
    <row r="28" customFormat="false" ht="15" hidden="false" customHeight="true" outlineLevel="0" collapsed="false">
      <c r="B28" s="14" t="s">
        <v>156</v>
      </c>
      <c r="C28" s="29" t="n">
        <f aca="false">'Income Statement'!J12*Assumptions!$F$66</f>
        <v>46528.36100352</v>
      </c>
    </row>
    <row r="29" customFormat="false" ht="15" hidden="false" customHeight="true" outlineLevel="0" collapsed="false">
      <c r="B29" s="4" t="s">
        <v>157</v>
      </c>
      <c r="C29" s="35" t="n">
        <f aca="false">AVERAGE(C27,C28)</f>
        <v>42035.650110653</v>
      </c>
    </row>
    <row r="30" customFormat="false" ht="15" hidden="false" customHeight="true" outlineLevel="0" collapsed="false">
      <c r="B30" s="14" t="s">
        <v>158</v>
      </c>
      <c r="C30" s="29" t="n">
        <f aca="false">C29/(1+DCF!$C$10)^G21</f>
        <v>29849.810238825</v>
      </c>
    </row>
    <row r="31" customFormat="false" ht="15" hidden="false" customHeight="true" outlineLevel="0" collapsed="false">
      <c r="B31" s="4" t="s">
        <v>159</v>
      </c>
      <c r="C31" s="31" t="n">
        <f aca="false">C26+C30</f>
        <v>36226.0077353158</v>
      </c>
    </row>
    <row r="32" customFormat="false" ht="15" hidden="false" customHeight="true" outlineLevel="0" collapsed="false">
      <c r="B32" s="14" t="s">
        <v>160</v>
      </c>
      <c r="C32" s="29" t="n">
        <f aca="false">-('Debt Schedule'!C19-Assumptions!$C$78)</f>
        <v>-1750</v>
      </c>
    </row>
    <row r="33" customFormat="false" ht="15" hidden="false" customHeight="true" outlineLevel="0" collapsed="false">
      <c r="B33" s="4" t="s">
        <v>161</v>
      </c>
      <c r="C33" s="35" t="n">
        <f aca="false">C31+C32</f>
        <v>34476.0077353158</v>
      </c>
    </row>
    <row r="34" customFormat="false" ht="15" hidden="false" customHeight="true" outlineLevel="0" collapsed="false">
      <c r="B34" s="14" t="s">
        <v>162</v>
      </c>
      <c r="C34" s="33" t="n">
        <f aca="false">Assumptions!$C$76</f>
        <v>1000</v>
      </c>
    </row>
    <row r="35" customFormat="false" ht="15" hidden="false" customHeight="true" outlineLevel="0" collapsed="false">
      <c r="B35" s="4" t="s">
        <v>163</v>
      </c>
      <c r="C35" s="43" t="n">
        <f aca="false">C33/C34</f>
        <v>34.4760077353158</v>
      </c>
    </row>
    <row r="36" customFormat="false" ht="15" hidden="false" customHeight="true" outlineLevel="0" collapsed="false">
      <c r="B36" s="14" t="s">
        <v>164</v>
      </c>
      <c r="C36" s="44" t="n">
        <f aca="false">Assumptions!$C$77</f>
        <v>50</v>
      </c>
    </row>
    <row r="37" customFormat="false" ht="15" hidden="false" customHeight="true" outlineLevel="0" collapsed="false">
      <c r="B37" s="4" t="s">
        <v>165</v>
      </c>
      <c r="C37" s="18" t="n">
        <f aca="false">C35/C36-1</f>
        <v>-0.310479845293684</v>
      </c>
    </row>
    <row r="38" customFormat="false" ht="15" hidden="false" customHeight="true" outlineLevel="0" collapsed="false">
      <c r="B38" s="4" t="s">
        <v>166</v>
      </c>
      <c r="C38" s="18" t="n">
        <f aca="false">C30/C31</f>
        <v>0.823988402390947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B2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10" min="3" style="1" width="13"/>
  </cols>
  <sheetData>
    <row r="2" customFormat="false" ht="17.25" hidden="false" customHeight="true" outlineLevel="0" collapsed="false">
      <c r="B2" s="2" t="s">
        <v>167</v>
      </c>
    </row>
    <row r="3" customFormat="false" ht="15" hidden="false" customHeight="true" outlineLevel="0" collapsed="false">
      <c r="B3" s="3" t="s">
        <v>168</v>
      </c>
    </row>
    <row r="6" customFormat="false" ht="15" hidden="false" customHeight="true" outlineLevel="0" collapsed="false">
      <c r="B6" s="45" t="s">
        <v>169</v>
      </c>
      <c r="C6" s="45" t="s">
        <v>170</v>
      </c>
      <c r="D6" s="45" t="s">
        <v>171</v>
      </c>
      <c r="E6" s="45" t="s">
        <v>172</v>
      </c>
      <c r="F6" s="45" t="s">
        <v>173</v>
      </c>
    </row>
    <row r="7" customFormat="false" ht="15" hidden="false" customHeight="true" outlineLevel="0" collapsed="false">
      <c r="B7" s="14" t="s">
        <v>174</v>
      </c>
      <c r="C7" s="21" t="n">
        <v>3</v>
      </c>
      <c r="D7" s="21" t="n">
        <v>12</v>
      </c>
      <c r="E7" s="21" t="n">
        <v>18</v>
      </c>
      <c r="F7" s="21" t="n">
        <v>20</v>
      </c>
    </row>
    <row r="8" customFormat="false" ht="15" hidden="false" customHeight="true" outlineLevel="0" collapsed="false">
      <c r="B8" s="14" t="s">
        <v>175</v>
      </c>
      <c r="C8" s="21" t="n">
        <v>3</v>
      </c>
      <c r="D8" s="21" t="n">
        <v>12</v>
      </c>
      <c r="E8" s="21" t="n">
        <v>18</v>
      </c>
      <c r="F8" s="21" t="n">
        <v>20</v>
      </c>
    </row>
    <row r="9" customFormat="false" ht="15" hidden="false" customHeight="true" outlineLevel="0" collapsed="false">
      <c r="B9" s="14" t="s">
        <v>176</v>
      </c>
      <c r="C9" s="21" t="n">
        <v>3</v>
      </c>
      <c r="D9" s="21" t="n">
        <v>12</v>
      </c>
      <c r="E9" s="21" t="n">
        <v>18</v>
      </c>
      <c r="F9" s="21" t="n">
        <v>20</v>
      </c>
    </row>
    <row r="10" customFormat="false" ht="15" hidden="false" customHeight="true" outlineLevel="0" collapsed="false">
      <c r="B10" s="14" t="s">
        <v>177</v>
      </c>
      <c r="C10" s="21" t="n">
        <v>3</v>
      </c>
      <c r="D10" s="21" t="n">
        <v>12</v>
      </c>
      <c r="E10" s="21" t="n">
        <v>18</v>
      </c>
      <c r="F10" s="21" t="n">
        <v>20</v>
      </c>
    </row>
    <row r="11" customFormat="false" ht="15" hidden="false" customHeight="true" outlineLevel="0" collapsed="false">
      <c r="B11" s="4" t="s">
        <v>178</v>
      </c>
      <c r="C11" s="46" t="n">
        <f aca="false">MEDIAN(C7:C10)</f>
        <v>3</v>
      </c>
      <c r="D11" s="46" t="n">
        <f aca="false">MEDIAN(D7:D10)</f>
        <v>12</v>
      </c>
      <c r="E11" s="46" t="n">
        <f aca="false">MEDIAN(E7:E10)</f>
        <v>18</v>
      </c>
      <c r="F11" s="46" t="n">
        <f aca="false">MEDIAN(F7:F10)</f>
        <v>20</v>
      </c>
    </row>
    <row r="13" customFormat="false" ht="15" hidden="false" customHeight="true" outlineLevel="0" collapsed="false">
      <c r="B13" s="47" t="s">
        <v>179</v>
      </c>
      <c r="C13" s="47"/>
      <c r="D13" s="47"/>
      <c r="E13" s="47"/>
      <c r="F13" s="47"/>
    </row>
    <row r="14" customFormat="false" ht="15" hidden="false" customHeight="true" outlineLevel="0" collapsed="false">
      <c r="B14" s="14" t="s">
        <v>180</v>
      </c>
      <c r="E14" s="44" t="n">
        <f aca="false">(C11*'Income Statement'!F7-('Debt Schedule'!C19-Assumptions!$C$78))/Assumptions!$C$76</f>
        <v>37.85</v>
      </c>
    </row>
    <row r="15" customFormat="false" ht="15" hidden="false" customHeight="true" outlineLevel="0" collapsed="false">
      <c r="B15" s="14" t="s">
        <v>181</v>
      </c>
      <c r="E15" s="44" t="n">
        <f aca="false">(D11*'Income Statement'!F12-('Debt Schedule'!C19-Assumptions!$C$78))/Assumptions!$C$76</f>
        <v>28.346</v>
      </c>
    </row>
    <row r="16" customFormat="false" ht="15" hidden="false" customHeight="true" outlineLevel="0" collapsed="false">
      <c r="B16" s="14" t="s">
        <v>182</v>
      </c>
      <c r="E16" s="44" t="n">
        <f aca="false">E11*'Income Statement'!F18/Assumptions!$C$76</f>
        <v>26.0483382</v>
      </c>
    </row>
    <row r="17" customFormat="false" ht="15" hidden="false" customHeight="true" outlineLevel="0" collapsed="false">
      <c r="B17" s="4" t="s">
        <v>183</v>
      </c>
      <c r="E17" s="43" t="n">
        <f aca="false">AVERAGE(E14:E16)</f>
        <v>30.7481127333333</v>
      </c>
    </row>
  </sheetData>
  <mergeCells count="1">
    <mergeCell ref="B13:F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B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10" min="3" style="1" width="13"/>
  </cols>
  <sheetData>
    <row r="2" customFormat="false" ht="17.25" hidden="false" customHeight="true" outlineLevel="0" collapsed="false">
      <c r="B2" s="2" t="s">
        <v>184</v>
      </c>
    </row>
    <row r="3" customFormat="false" ht="15" hidden="false" customHeight="true" outlineLevel="0" collapsed="false">
      <c r="B3" s="3" t="s">
        <v>185</v>
      </c>
    </row>
    <row r="6" customFormat="false" ht="15" hidden="false" customHeight="true" outlineLevel="0" collapsed="false">
      <c r="B6" s="7" t="s">
        <v>186</v>
      </c>
      <c r="C6" s="8"/>
      <c r="D6" s="8"/>
      <c r="E6" s="8"/>
      <c r="F6" s="8"/>
      <c r="G6" s="8"/>
      <c r="H6" s="8"/>
    </row>
    <row r="8" customFormat="false" ht="15" hidden="false" customHeight="true" outlineLevel="0" collapsed="false">
      <c r="B8" s="4" t="s">
        <v>187</v>
      </c>
      <c r="C8" s="48" t="n">
        <f aca="false">Assumptions!$F$63+-0.01</f>
        <v>0.015</v>
      </c>
      <c r="D8" s="48" t="n">
        <f aca="false">Assumptions!$F$63+-0.005</f>
        <v>0.02</v>
      </c>
      <c r="E8" s="48" t="n">
        <f aca="false">Assumptions!$F$63+0</f>
        <v>0.025</v>
      </c>
      <c r="F8" s="48" t="n">
        <f aca="false">Assumptions!$F$63+0.005</f>
        <v>0.03</v>
      </c>
      <c r="G8" s="48" t="n">
        <f aca="false">Assumptions!$F$63+0.01</f>
        <v>0.035</v>
      </c>
    </row>
    <row r="9" customFormat="false" ht="15" hidden="false" customHeight="true" outlineLevel="0" collapsed="false">
      <c r="B9" s="13" t="n">
        <f aca="false">DCF!$C$10+-0.01</f>
        <v>0.069044</v>
      </c>
      <c r="C9" s="44" t="n">
        <f aca="false">(DCF!$C$26+(DCF!$G$20*(1+C$8)/($B9-C$8))/(1+$B9)^DCF!$G$21+DCF!$C$32)/DCF!$C$34</f>
        <v>32.155191135223</v>
      </c>
      <c r="D9" s="44" t="n">
        <f aca="false">(DCF!$C$26+(DCF!$G$20*(1+D$8)/($B9-D$8))/(1+$B9)^DCF!$G$21+DCF!$C$32)/DCF!$C$34</f>
        <v>35.1111881705106</v>
      </c>
      <c r="E9" s="44" t="n">
        <f aca="false">(DCF!$C$26+(DCF!$G$20*(1+E$8)/($B9-E$8))/(1+$B9)^DCF!$G$21+DCF!$C$32)/DCF!$C$34</f>
        <v>38.7383315674564</v>
      </c>
      <c r="F9" s="44" t="n">
        <f aca="false">(DCF!$C$26+(DCF!$G$20*(1+F$8)/($B9-F$8))/(1+$B9)^DCF!$G$21+DCF!$C$32)/DCF!$C$34</f>
        <v>43.2944636430586</v>
      </c>
      <c r="G9" s="44" t="n">
        <f aca="false">(DCF!$C$26+(DCF!$G$20*(1+G$8)/($B9-G$8))/(1+$B9)^DCF!$G$21+DCF!$C$32)/DCF!$C$34</f>
        <v>49.1889026378248</v>
      </c>
    </row>
    <row r="10" customFormat="false" ht="15" hidden="false" customHeight="true" outlineLevel="0" collapsed="false">
      <c r="B10" s="13" t="n">
        <f aca="false">DCF!$C$10+-0.005</f>
        <v>0.074044</v>
      </c>
      <c r="C10" s="44" t="n">
        <f aca="false">(DCF!$C$26+(DCF!$G$20*(1+C$8)/($B10-C$8))/(1+$B10)^DCF!$G$21+DCF!$C$32)/DCF!$C$34</f>
        <v>29.3003833106815</v>
      </c>
      <c r="D10" s="44" t="n">
        <f aca="false">(DCF!$C$26+(DCF!$G$20*(1+D$8)/($B10-D$8))/(1+$B10)^DCF!$G$21+DCF!$C$32)/DCF!$C$34</f>
        <v>31.7159630653109</v>
      </c>
      <c r="E10" s="44" t="n">
        <f aca="false">(DCF!$C$26+(DCF!$G$20*(1+E$8)/($B10-E$8))/(1+$B10)^DCF!$G$21+DCF!$C$32)/DCF!$C$34</f>
        <v>34.6240760053717</v>
      </c>
      <c r="F10" s="44" t="n">
        <f aca="false">(DCF!$C$26+(DCF!$G$20*(1+F$8)/($B10-F$8))/(1+$B10)^DCF!$G$21+DCF!$C$32)/DCF!$C$34</f>
        <v>38.1924634300526</v>
      </c>
      <c r="G10" s="44" t="n">
        <f aca="false">(DCF!$C$26+(DCF!$G$20*(1+G$8)/($B10-G$8))/(1+$B10)^DCF!$G$21+DCF!$C$32)/DCF!$C$34</f>
        <v>42.6747908774466</v>
      </c>
    </row>
    <row r="11" customFormat="false" ht="15" hidden="false" customHeight="true" outlineLevel="0" collapsed="false">
      <c r="B11" s="13" t="n">
        <f aca="false">DCF!$C$10+0</f>
        <v>0.079044</v>
      </c>
      <c r="C11" s="44" t="n">
        <f aca="false">(DCF!$C$26+(DCF!$G$20*(1+C$8)/($B11-C$8))/(1+$B11)^DCF!$G$21+DCF!$C$32)/DCF!$C$34</f>
        <v>26.9035352685672</v>
      </c>
      <c r="D11" s="44" t="n">
        <f aca="false">(DCF!$C$26+(DCF!$G$20*(1+D$8)/($B11-D$8))/(1+$B11)^DCF!$G$21+DCF!$C$32)/DCF!$C$34</f>
        <v>28.9090720644486</v>
      </c>
      <c r="E11" s="44" t="n">
        <f aca="false">(DCF!$C$26+(DCF!$G$20*(1+E$8)/($B11-E$8))/(1+$B11)^DCF!$G$21+DCF!$C$32)/DCF!$C$34</f>
        <v>31.2857021909275</v>
      </c>
      <c r="F11" s="44" t="n">
        <f aca="false">(DCF!$C$26+(DCF!$G$20*(1+F$8)/($B11-F$8))/(1+$B11)^DCF!$G$21+DCF!$C$32)/DCF!$C$34</f>
        <v>34.146923730521</v>
      </c>
      <c r="G11" s="44" t="n">
        <f aca="false">(DCF!$C$26+(DCF!$G$20*(1+G$8)/($B11-G$8))/(1+$B11)^DCF!$G$21+DCF!$C$32)/DCF!$C$34</f>
        <v>37.6577732647547</v>
      </c>
    </row>
    <row r="12" customFormat="false" ht="15" hidden="false" customHeight="true" outlineLevel="0" collapsed="false">
      <c r="B12" s="13" t="n">
        <f aca="false">DCF!$C$10+0.005</f>
        <v>0.084044</v>
      </c>
      <c r="C12" s="44" t="n">
        <f aca="false">(DCF!$C$26+(DCF!$G$20*(1+C$8)/($B12-C$8))/(1+$B12)^DCF!$G$21+DCF!$C$32)/DCF!$C$34</f>
        <v>24.8648173694113</v>
      </c>
      <c r="D12" s="44" t="n">
        <f aca="false">(DCF!$C$26+(DCF!$G$20*(1+D$8)/($B12-D$8))/(1+$B12)^DCF!$G$21+DCF!$C$32)/DCF!$C$34</f>
        <v>26.552354419949</v>
      </c>
      <c r="E12" s="44" t="n">
        <f aca="false">(DCF!$C$26+(DCF!$G$20*(1+E$8)/($B12-E$8))/(1+$B12)^DCF!$G$21+DCF!$C$32)/DCF!$C$34</f>
        <v>28.5257015528891</v>
      </c>
      <c r="F12" s="44" t="n">
        <f aca="false">(DCF!$C$26+(DCF!$G$20*(1+F$8)/($B12-F$8))/(1+$B12)^DCF!$G$21+DCF!$C$32)/DCF!$C$34</f>
        <v>30.8641858209304</v>
      </c>
      <c r="G12" s="44" t="n">
        <f aca="false">(DCF!$C$26+(DCF!$G$20*(1+G$8)/($B12-G$8))/(1+$B12)^DCF!$G$21+DCF!$C$32)/DCF!$C$34</f>
        <v>33.6794836172404</v>
      </c>
    </row>
    <row r="13" customFormat="false" ht="15" hidden="false" customHeight="true" outlineLevel="0" collapsed="false">
      <c r="B13" s="13" t="n">
        <f aca="false">DCF!$C$10+0.01</f>
        <v>0.089044</v>
      </c>
      <c r="C13" s="44" t="n">
        <f aca="false">(DCF!$C$26+(DCF!$G$20*(1+C$8)/($B13-C$8))/(1+$B13)^DCF!$G$21+DCF!$C$32)/DCF!$C$34</f>
        <v>23.1113756455492</v>
      </c>
      <c r="D13" s="44" t="n">
        <f aca="false">(DCF!$C$26+(DCF!$G$20*(1+D$8)/($B13-D$8))/(1+$B13)^DCF!$G$21+DCF!$C$32)/DCF!$C$34</f>
        <v>24.5476820112025</v>
      </c>
      <c r="E13" s="44" t="n">
        <f aca="false">(DCF!$C$26+(DCF!$G$20*(1+E$8)/($B13-E$8))/(1+$B13)^DCF!$G$21+DCF!$C$32)/DCF!$C$34</f>
        <v>26.2082570617682</v>
      </c>
      <c r="F13" s="44" t="n">
        <f aca="false">(DCF!$C$26+(DCF!$G$20*(1+F$8)/($B13-F$8))/(1+$B13)^DCF!$G$21+DCF!$C$32)/DCF!$C$34</f>
        <v>28.1500757697022</v>
      </c>
      <c r="G13" s="44" t="n">
        <f aca="false">(DCF!$C$26+(DCF!$G$20*(1+G$8)/($B13-G$8))/(1+$B13)^DCF!$G$21+DCF!$C$32)/DCF!$C$34</f>
        <v>30.4511977690163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10" min="3" style="1" width="13"/>
  </cols>
  <sheetData>
    <row r="2" customFormat="false" ht="17.25" hidden="false" customHeight="true" outlineLevel="0" collapsed="false">
      <c r="B2" s="2" t="s">
        <v>188</v>
      </c>
    </row>
    <row r="3" customFormat="false" ht="15" hidden="false" customHeight="true" outlineLevel="0" collapsed="false">
      <c r="B3" s="3" t="s">
        <v>189</v>
      </c>
    </row>
    <row r="5" customFormat="false" ht="15" hidden="false" customHeight="true" outlineLevel="0" collapsed="false">
      <c r="B5" s="49" t="s">
        <v>190</v>
      </c>
      <c r="C5" s="49" t="s">
        <v>191</v>
      </c>
    </row>
    <row r="6" customFormat="false" ht="15" hidden="false" customHeight="true" outlineLevel="0" collapsed="false">
      <c r="B6" s="14" t="s">
        <v>192</v>
      </c>
      <c r="C6" s="50" t="n">
        <f aca="false">SUMPRODUCT(MAX(ABS('Balance Sheet'!C20:J20)))</f>
        <v>0</v>
      </c>
    </row>
    <row r="7" customFormat="false" ht="15" hidden="false" customHeight="true" outlineLevel="0" collapsed="false">
      <c r="B7" s="14" t="s">
        <v>193</v>
      </c>
      <c r="C7" s="50" t="n">
        <f aca="false">SUMPRODUCT(MAX(ABS('Cash Flow'!C23:J23)))</f>
        <v>0</v>
      </c>
    </row>
    <row r="8" customFormat="false" ht="15" hidden="false" customHeight="true" outlineLevel="0" collapsed="false">
      <c r="B8" s="14" t="s">
        <v>194</v>
      </c>
      <c r="C8" s="50" t="str">
        <f aca="false">IF(DCF!$C$10&gt;Assumptions!$F$63,"OK","FAIL")</f>
        <v>OK</v>
      </c>
    </row>
    <row r="9" customFormat="false" ht="15" hidden="false" customHeight="true" outlineLevel="0" collapsed="false">
      <c r="B9" s="14" t="s">
        <v>195</v>
      </c>
      <c r="C9" s="50" t="str">
        <f aca="false">IF(DCF!C38&lt;0.8,"OK","REVIEW")</f>
        <v>REVIEW</v>
      </c>
    </row>
    <row r="10" customFormat="false" ht="15" hidden="false" customHeight="true" outlineLevel="0" collapsed="false">
      <c r="B10" s="14" t="s">
        <v>196</v>
      </c>
      <c r="C10" s="50" t="str">
        <f aca="false">IF(MIN('Debt Schedule'!C26:J26)&gt;2,"OK","REVIEW")</f>
        <v>OK</v>
      </c>
    </row>
    <row r="11" customFormat="false" ht="15" hidden="false" customHeight="true" outlineLevel="0" collapsed="false">
      <c r="B11" s="14" t="s">
        <v>197</v>
      </c>
      <c r="C11" s="50" t="str">
        <f aca="false">IF(MIN('Debt Schedule'!C18:J18)&gt;=0,"OK","FAIL")</f>
        <v>OK</v>
      </c>
    </row>
    <row r="12" customFormat="false" ht="15" hidden="false" customHeight="true" outlineLevel="0" collapsed="false">
      <c r="B12" s="14" t="s">
        <v>198</v>
      </c>
      <c r="C12" s="50" t="str">
        <f aca="false">IF(AND(Assumptions!$C$9&gt;=1,Assumptions!$C$9&lt;=3),"OK","FAIL")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2026-05-28T05:16:21Z</dcterms:created>
  <dc:creator>openpyxl</dc:creator>
  <dc:description/>
  <dc:language>en-US</dc:language>
  <cp:lastModifiedBy/>
  <dcterms:modified xsi:type="dcterms:W3CDTF">2026-05-28T05:22:33Z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